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" state="visible" r:id="rId4"/>
    <sheet sheetId="2" name="Discharge" state="visible" r:id="rId5"/>
  </sheets>
  <calcPr calcId="171027"/>
</workbook>
</file>

<file path=xl/sharedStrings.xml><?xml version="1.0" encoding="utf-8"?>
<sst xmlns="http://schemas.openxmlformats.org/spreadsheetml/2006/main" count="44" uniqueCount="44">
  <si>
    <t>ArduVCU Digital Twin — lead-acid discharge &amp; pacing model</t>
  </si>
  <si>
    <t>Greenpower F24 · 24 V (2 × 12 V SLA in series) · built Oct 2026, replaces an earlier static illustration with a real, auditable model</t>
  </si>
  <si>
    <t>What this model does</t>
  </si>
  <si>
    <t>Predicts pack terminal voltage over a race from Peukert's law and internal-resistance sag, and checks the 0.05 V/min pacing budget that the ArduVCU firmware enforces (Limp Mode at 21.0 V). Edit any input in blue — every output and the whole Discharge sheet recompute live.</t>
  </si>
  <si>
    <t>Battery &amp; race parameters (editable)</t>
  </si>
  <si>
    <t>Race prediction</t>
  </si>
  <si>
    <t>Capacity at 20h rate, C (Ah)</t>
  </si>
  <si>
    <t>Peukert runtime t_run (min)</t>
  </si>
  <si>
    <t>Peukert exponent, k</t>
  </si>
  <si>
    <t>Terminal voltage at start (V)</t>
  </si>
  <si>
    <t>Rating period, H (h)</t>
  </si>
  <si>
    <t>Time to Limp Mode (min)</t>
  </si>
  <si>
    <t>Average current draw, I (A)</t>
  </si>
  <si>
    <t>Average discharge gradient (V/min)</t>
  </si>
  <si>
    <t>Pack internal resistance, R (ohm)</t>
  </si>
  <si>
    <t>Verdict</t>
  </si>
  <si>
    <t>Open-circuit voltage, full (V)</t>
  </si>
  <si>
    <t>Open-circuit voltage, empty (V)</t>
  </si>
  <si>
    <t>Limp threshold (V)</t>
  </si>
  <si>
    <t>Model sanity checks (live)</t>
  </si>
  <si>
    <t>Pacing budget (V/min)</t>
  </si>
  <si>
    <t>Check</t>
  </si>
  <si>
    <t>Actual</t>
  </si>
  <si>
    <t>Expected</t>
  </si>
  <si>
    <t>Tolerance</t>
  </si>
  <si>
    <t>Status</t>
  </si>
  <si>
    <t>Detail</t>
  </si>
  <si>
    <t>Race duration (min)</t>
  </si>
  <si>
    <t>Peukert self-check: runtime at C/H equals H</t>
  </si>
  <si>
    <t>t_limp &lt;= t_run (Limp before empty)</t>
  </si>
  <si>
    <t>V at t=90 min matches Model sheet</t>
  </si>
  <si>
    <t>Model assumptions (first-order, deliberate): linear open-circuit voltage vs SOC; constant internal resistance; constant average current; no temperature, ageing or surface-charge effects. If I·R &lt; 1 V, the terminal voltage never reaches 21 V: t_limp reports 'never' and the binding limit becomes Peukert runtime (verdict: FLAT if the pack empties before the finish). Every simplification is disclosed — the model is a pacing tool, not a cell datasheet. Interactive browser version: prestonforge.github.io/digital-twin.html. Part of github.com/prestonforge/ArduVCU.</t>
  </si>
  <si>
    <t>Discharge curve — t = 0…120 min, 1-minute steps</t>
  </si>
  <si>
    <t>Chart source: plot Terminal V and Budget line vs t. Limp Mode engages when Terminal V &lt;= 21.0 V.</t>
  </si>
  <si>
    <t>t (min)</t>
  </si>
  <si>
    <t>I (A)</t>
  </si>
  <si>
    <t>Ah drawn</t>
  </si>
  <si>
    <t>SOC</t>
  </si>
  <si>
    <t>OCV (V)</t>
  </si>
  <si>
    <t>Terminal V</t>
  </si>
  <si>
    <t>dV/dt (V/min)</t>
  </si>
  <si>
    <t>Budget line (V)</t>
  </si>
  <si>
    <t>State</t>
  </si>
  <si>
    <t>Budget line = start voltage minus 0.05 V/min — where the pack would be if draining exactly at the firmware's pacing target. While Terminal V stays above the Budget line, the car is pacing within budget.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</si>
</sst>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;(0.00);-"/>
    <numFmt numFmtId="165" formatCode="0.0"/>
    <numFmt numFmtId="166" formatCode="#,##0;(#,##0);-"/>
    <numFmt numFmtId="167" formatCode="0.000"/>
  </numFmts>
  <fonts count="9" x14ac:knownFonts="1">
    <font>
      <color theme="1"/>
      <family val="2"/>
      <sz val="11"/>
      <name val="Arial"/>
    </font>
    <font>
      <color rgb="FF303030"/>
      <sz val="20"/>
      <name val="Arial"/>
    </font>
    <font>
      <color rgb="FF626262"/>
      <sz val="11"/>
      <name val="Arial"/>
    </font>
    <font>
      <b/>
      <color rgb="FF303030"/>
      <sz val="11"/>
      <name val="Arial"/>
    </font>
    <font>
      <color rgb="FF303030"/>
      <sz val="11"/>
      <name val="Arial"/>
    </font>
    <font>
      <color rgb="FF1F4E79"/>
      <sz val="11"/>
      <name val="Arial"/>
    </font>
    <font>
      <b/>
      <color rgb="FF1F4E79"/>
      <sz val="11"/>
      <name val="Arial"/>
    </font>
    <font>
      <b/>
      <color rgb="FFFFFFFF"/>
      <sz val="11"/>
      <name val="Arial"/>
    </font>
    <font>
      <i/>
      <color rgb="FF626262"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A500F"/>
      </patternFill>
    </fill>
    <fill>
      <patternFill patternType="solid">
        <fgColor rgb="FFFF8205"/>
      </patternFill>
    </fill>
    <fill>
      <patternFill patternType="solid">
        <fgColor rgb="FFFAFAFA"/>
      </patternFill>
    </fill>
    <fill>
      <patternFill patternType="solid">
        <fgColor rgb="FFF3F3F3"/>
      </patternFill>
    </fill>
    <fill>
      <patternFill patternType="solid">
        <fgColor rgb="FFFFF2CC"/>
      </patternFill>
    </fill>
    <fill>
      <patternFill patternType="solid">
        <fgColor rgb="FF303030"/>
      </patternFill>
    </fill>
  </fills>
  <borders count="2">
    <border>
      <left/>
      <right/>
      <top/>
      <bottom/>
      <diagonal/>
    </border>
    <border>
      <left style="medium">
        <color rgb="FFFA500F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4" borderId="1" xfId="0" applyFont="1" applyFill="1" applyBorder="1" applyAlignment="1">
      <alignment vertical="center" wrapText="1" indent="1"/>
    </xf>
    <xf numFmtId="0" fontId="4" fillId="4" borderId="1" xfId="0" applyFont="1" applyFill="1" applyBorder="1" applyAlignment="1">
      <alignment vertical="center" wrapText="1" indent="1"/>
    </xf>
    <xf numFmtId="0" fontId="3" fillId="5" borderId="0" xfId="0" applyFont="1" applyFill="1"/>
    <xf numFmtId="0" fontId="4" fillId="0" borderId="0" xfId="0" applyFont="1"/>
    <xf numFmtId="164" fontId="5" fillId="6" borderId="0" xfId="0" applyNumberFormat="1" applyFont="1" applyFill="1"/>
    <xf numFmtId="165" fontId="4" fillId="4" borderId="0" xfId="0" applyNumberFormat="1" applyFont="1" applyFill="1"/>
    <xf numFmtId="2" fontId="4" fillId="4" borderId="0" xfId="0" applyNumberFormat="1" applyFont="1" applyFill="1"/>
    <xf numFmtId="166" fontId="5" fillId="6" borderId="0" xfId="0" applyNumberFormat="1" applyFont="1" applyFill="1"/>
    <xf numFmtId="164" fontId="6" fillId="6" borderId="0" xfId="0" applyNumberFormat="1" applyFont="1" applyFill="1"/>
    <xf numFmtId="167" fontId="4" fillId="4" borderId="0" xfId="0" applyNumberFormat="1" applyFont="1" applyFill="1"/>
    <xf numFmtId="0" fontId="4" fillId="4" borderId="0" xfId="0" applyFont="1" applyFill="1"/>
    <xf numFmtId="167" fontId="6" fillId="6" borderId="0" xfId="0" applyNumberFormat="1" applyFont="1" applyFill="1"/>
    <xf numFmtId="0" fontId="7" fillId="7" borderId="0" xfId="0" applyFont="1" applyFill="1"/>
    <xf numFmtId="167" fontId="0" fillId="0" borderId="0" xfId="0" applyNumberFormat="1"/>
    <xf numFmtId="0" fontId="3" fillId="0" borderId="0" xfId="0" applyFont="1"/>
    <xf numFmtId="0" fontId="8" fillId="0" borderId="0" xfId="0" applyFont="1" applyAlignment="1">
      <alignment vertical="top" wrapText="1"/>
    </xf>
    <xf numFmtId="0" fontId="7" fillId="7" borderId="0" xfId="0" applyFont="1" applyFill="1" applyAlignment="1">
      <alignment vertical="center"/>
    </xf>
    <xf numFmtId="164" fontId="4" fillId="0" borderId="0" xfId="0" applyNumberFormat="1" applyFont="1"/>
    <xf numFmtId="9" fontId="4" fillId="0" borderId="0" xfId="0" applyNumberFormat="1" applyFont="1"/>
    <xf numFmtId="167" fontId="4" fillId="0" borderId="0" xfId="0" applyNumberFormat="1" applyFont="1"/>
  </cellXfs>
  <cellStyles count="1">
    <cellStyle name="Normal" xfId="0" builtinId="0"/>
  </cellStyles>
  <dxfs count="6">
    <dxf>
      <font>
        <b/>
        <color rgb="FF2E7D32"/>
      </font>
    </dxf>
    <dxf>
      <font>
        <b/>
        <color rgb="FFC0392B"/>
      </font>
    </dxf>
    <dxf>
      <font>
        <b/>
        <color rgb="FF2E7D32"/>
      </font>
    </dxf>
    <dxf>
      <font>
        <b/>
        <color rgb="FFC0392B"/>
      </font>
    </dxf>
    <dxf>
      <font>
        <b/>
        <color rgb="FF2E7D32"/>
      </font>
    </dxf>
    <dxf>
      <font>
        <b/>
        <color rgb="FFC0392B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6"/>
  <sheetViews>
    <sheetView workbookViewId="0" showGridLines="0"/>
  </sheetViews>
  <sheetFormatPr defaultRowHeight="15" outlineLevelRow="0" outlineLevelCol="0" x14ac:dyDescent="55"/>
  <cols>
    <col min="1" max="1" width="2.5" customWidth="1"/>
    <col min="2" max="2" width="20" customWidth="1"/>
    <col min="4" max="4" width="14" customWidth="1"/>
    <col min="10" max="10" width="46" customWidth="1"/>
    <col min="11" max="11" width="12" customWidth="1"/>
    <col min="12" max="12" width="14" customWidth="1"/>
    <col min="13" max="14" width="10" customWidth="1"/>
    <col min="15" max="15" width="24" customWidth="1"/>
  </cols>
  <sheetData>
    <row r="2" ht="28" customHeight="1" spans="2:1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2:11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4" ht="4" customHeight="1" spans="2:11" x14ac:dyDescent="0.25">
      <c r="B4" s="3"/>
      <c r="C4" s="3"/>
      <c r="D4" s="3"/>
      <c r="E4" s="3"/>
      <c r="F4" s="3"/>
      <c r="G4" s="3"/>
      <c r="H4" s="3"/>
      <c r="I4" s="4"/>
      <c r="J4" s="4"/>
      <c r="K4" s="4"/>
    </row>
    <row r="7" spans="2:11" x14ac:dyDescent="0.25">
      <c r="B7" s="5" t="s">
        <v>2</v>
      </c>
      <c r="C7" s="5"/>
      <c r="D7" s="5"/>
      <c r="E7" s="5"/>
      <c r="F7" s="5"/>
      <c r="G7" s="5"/>
      <c r="H7" s="5"/>
      <c r="I7" s="5"/>
      <c r="J7" s="5"/>
      <c r="K7" s="5"/>
    </row>
    <row r="8" spans="2:11" x14ac:dyDescent="0.25">
      <c r="B8" s="6" t="s">
        <v>3</v>
      </c>
      <c r="C8" s="6"/>
      <c r="D8" s="6"/>
      <c r="E8" s="6"/>
      <c r="F8" s="6"/>
      <c r="G8" s="6"/>
      <c r="H8" s="6"/>
      <c r="I8" s="6"/>
      <c r="J8" s="6"/>
      <c r="K8" s="6"/>
    </row>
    <row r="11" spans="2:15" x14ac:dyDescent="0.25">
      <c r="B11" s="7" t="s">
        <v>4</v>
      </c>
      <c r="C11" s="7"/>
      <c r="D11" s="7"/>
      <c r="E11" s="7"/>
      <c r="F11" s="7"/>
      <c r="G11" s="7"/>
      <c r="J11" s="7" t="s">
        <v>5</v>
      </c>
      <c r="K11" s="7"/>
      <c r="L11" s="7"/>
      <c r="M11" s="7"/>
      <c r="N11" s="7"/>
      <c r="O11" s="7"/>
    </row>
    <row r="12" ht="20" customHeight="1" spans="2:15" x14ac:dyDescent="0.25">
      <c r="B12" s="8" t="s">
        <v>6</v>
      </c>
      <c r="C12" s="8"/>
      <c r="D12" s="9">
        <v>20</v>
      </c>
      <c r="E12" s="9"/>
      <c r="F12" s="9"/>
      <c r="G12" s="9"/>
      <c r="J12" s="8" t="s">
        <v>7</v>
      </c>
      <c r="K12" s="8"/>
      <c r="L12" s="10">
        <f>Model!D14*(Model!D12/(Model!D15*Model!D14))^Model!D13*60</f>
        <v>95.8964124433</v>
      </c>
      <c r="M12" s="10"/>
      <c r="N12" s="10"/>
      <c r="O12" s="10"/>
    </row>
    <row r="13" ht="20" customHeight="1" spans="2:15" x14ac:dyDescent="0.25">
      <c r="B13" s="8" t="s">
        <v>8</v>
      </c>
      <c r="C13" s="8"/>
      <c r="D13" s="9">
        <v>1.15</v>
      </c>
      <c r="E13" s="9"/>
      <c r="F13" s="9"/>
      <c r="G13" s="9"/>
      <c r="J13" s="8" t="s">
        <v>9</v>
      </c>
      <c r="K13" s="8"/>
      <c r="L13" s="11">
        <f>Model!D17-Model!D15*Model!D16</f>
        <v>24.32</v>
      </c>
      <c r="M13" s="11"/>
      <c r="N13" s="11"/>
      <c r="O13" s="11"/>
    </row>
    <row r="14" ht="20" customHeight="1" spans="2:15" x14ac:dyDescent="0.25">
      <c r="B14" s="8" t="s">
        <v>10</v>
      </c>
      <c r="C14" s="8"/>
      <c r="D14" s="12">
        <v>20</v>
      </c>
      <c r="E14" s="12"/>
      <c r="F14" s="12"/>
      <c r="G14" s="12"/>
      <c r="J14" s="8" t="s">
        <v>11</v>
      </c>
      <c r="K14" s="8"/>
      <c r="L14" s="10">
        <f>IF((Model!D19-Model!D18+Model!D15*Model!D16)&lt;=0,"never",Model!L12*(1-(Model!D19-Model!D18+Model!D15*Model!D16)/(Model!D17-Model!D18)))</f>
        <v>93.6400262682</v>
      </c>
      <c r="M14" s="10"/>
      <c r="N14" s="10"/>
      <c r="O14" s="10"/>
    </row>
    <row r="15" ht="20" customHeight="1" spans="2:15" x14ac:dyDescent="0.25">
      <c r="B15" s="8" t="s">
        <v>12</v>
      </c>
      <c r="C15" s="8"/>
      <c r="D15" s="13">
        <v>9</v>
      </c>
      <c r="E15" s="13"/>
      <c r="F15" s="13"/>
      <c r="G15" s="13"/>
      <c r="J15" s="8" t="s">
        <v>13</v>
      </c>
      <c r="K15" s="8"/>
      <c r="L15" s="14">
        <f>IF(Model!L14="never",(Model!L13-(Model!D18-Model!D15*Model!D16))/Model!L12,(Model!L13-Model!D19)/Model!L14)</f>
        <v>0.0354549238431</v>
      </c>
      <c r="M15" s="14"/>
      <c r="N15" s="14"/>
      <c r="O15" s="14"/>
    </row>
    <row r="16" ht="20" customHeight="1" spans="2:15" x14ac:dyDescent="0.25">
      <c r="B16" s="8" t="s">
        <v>14</v>
      </c>
      <c r="C16" s="8"/>
      <c r="D16" s="9">
        <v>0.12</v>
      </c>
      <c r="E16" s="9"/>
      <c r="F16" s="9"/>
      <c r="G16" s="9"/>
      <c r="J16" s="8" t="s">
        <v>15</v>
      </c>
      <c r="K16" s="8"/>
      <c r="L16" s="15" t="str">
        <f>IF(AND(Model!L14&lt;&gt;"never",Model!L14&lt;Model!D21),"LIMP at "&amp;TEXT(Model!L14,"0.0")&amp;" min — reduce current to "&amp;TEXT(Model!D12/(Model!D14*POWER(Model!D21/60/Model!D14,1/Model!D13)),"0.0")&amp;" A",IF(Model!L12&lt;Model!D21,"FLAT — pack empties at "&amp;TEXT(Model!L12,"0.0")&amp;" min, before the "&amp;TEXT(Model!D21,"0")&amp;"-min finish","FINISHES — on pace"))</f>
        <v>FINISHES — on pace</v>
      </c>
      <c r="M16" s="15"/>
      <c r="N16" s="15"/>
      <c r="O16" s="15"/>
    </row>
    <row r="17" ht="20" customHeight="1" spans="2:7" x14ac:dyDescent="0.25">
      <c r="B17" s="8" t="s">
        <v>16</v>
      </c>
      <c r="C17" s="8"/>
      <c r="D17" s="9">
        <v>25.4</v>
      </c>
      <c r="E17" s="9"/>
      <c r="F17" s="9"/>
      <c r="G17" s="9"/>
    </row>
    <row r="18" ht="20" customHeight="1" spans="2:7" x14ac:dyDescent="0.25">
      <c r="B18" s="8" t="s">
        <v>17</v>
      </c>
      <c r="C18" s="8"/>
      <c r="D18" s="9">
        <v>22</v>
      </c>
      <c r="E18" s="9"/>
      <c r="F18" s="9"/>
      <c r="G18" s="9"/>
    </row>
    <row r="19" ht="20" customHeight="1" spans="2:19" x14ac:dyDescent="0.25">
      <c r="B19" s="8" t="s">
        <v>18</v>
      </c>
      <c r="C19" s="8"/>
      <c r="D19" s="9">
        <v>21</v>
      </c>
      <c r="E19" s="9"/>
      <c r="F19" s="9"/>
      <c r="G19" s="9"/>
      <c r="J19" s="7" t="s">
        <v>19</v>
      </c>
      <c r="K19" s="7"/>
      <c r="L19" s="7"/>
      <c r="M19" s="7"/>
      <c r="N19" s="7"/>
      <c r="O19" s="7"/>
      <c r="P19" s="7"/>
      <c r="Q19" s="7"/>
      <c r="R19" s="7"/>
      <c r="S19" s="7"/>
    </row>
    <row r="20" ht="20" customHeight="1" spans="2:19" x14ac:dyDescent="0.25">
      <c r="B20" s="8" t="s">
        <v>20</v>
      </c>
      <c r="C20" s="8"/>
      <c r="D20" s="16">
        <v>0.05</v>
      </c>
      <c r="E20" s="16"/>
      <c r="F20" s="16"/>
      <c r="G20" s="16"/>
      <c r="J20" s="17" t="s">
        <v>21</v>
      </c>
      <c r="K20" s="17" t="s">
        <v>22</v>
      </c>
      <c r="L20" s="17" t="s">
        <v>23</v>
      </c>
      <c r="M20" s="17" t="s">
        <v>24</v>
      </c>
      <c r="N20" s="17" t="s">
        <v>25</v>
      </c>
      <c r="O20" s="17" t="s">
        <v>26</v>
      </c>
      <c r="P20" s="17"/>
      <c r="Q20" s="17"/>
      <c r="R20" s="17"/>
      <c r="S20" s="17"/>
    </row>
    <row r="21" ht="20" customHeight="1" spans="2:19" x14ac:dyDescent="0.25">
      <c r="B21" s="8" t="s">
        <v>27</v>
      </c>
      <c r="C21" s="8"/>
      <c r="D21" s="12">
        <v>90</v>
      </c>
      <c r="E21" s="12"/>
      <c r="F21" s="12"/>
      <c r="G21" s="12"/>
      <c r="J21" t="s">
        <v>28</v>
      </c>
      <c r="K21" s="18">
        <f>Model!D14*(Model!D12/((Model!D12/Model!D14)*Model!D14))^Model!D13*60</f>
        <v>1200</v>
      </c>
      <c r="L21" s="18">
        <f>Model!D14*60</f>
        <v>1200</v>
      </c>
      <c r="M21" s="18">
        <v>0.01</v>
      </c>
      <c r="N21" s="19" t="str">
        <f>IF(ABS(Model!K21-Model!L21)&lt;=Model!M21,"PASS","FAIL")</f>
        <v>PASS</v>
      </c>
      <c r="O21" s="2"/>
      <c r="P21" s="2"/>
      <c r="Q21" s="2"/>
      <c r="R21" s="2"/>
      <c r="S21" s="2"/>
    </row>
    <row r="22" spans="10:19" x14ac:dyDescent="0.25">
      <c r="J22" t="s">
        <v>29</v>
      </c>
      <c r="K22" s="18">
        <f>IF(Model!L14="never",0,MAX(0,Model!L14-Model!L12))</f>
        <v>0</v>
      </c>
      <c r="L22" s="18">
        <v>0</v>
      </c>
      <c r="M22" s="18">
        <v>0.001</v>
      </c>
      <c r="N22" s="19" t="str">
        <f>IF(ABS(Model!K22-Model!L22)&lt;=Model!M22,"PASS","FAIL")</f>
        <v>PASS</v>
      </c>
      <c r="O22" s="2"/>
      <c r="P22" s="2"/>
      <c r="Q22" s="2"/>
      <c r="R22" s="2"/>
      <c r="S22" s="2"/>
    </row>
    <row r="23" spans="10:19" x14ac:dyDescent="0.25">
      <c r="J23" t="s">
        <v>30</v>
      </c>
      <c r="K23" s="18">
        <f>Discharge!G98</f>
        <v>21.1290568541</v>
      </c>
      <c r="L23" s="18">
        <f>Model!D18+(Model!D17-Model!D18)*MAX(0,1-90/Model!L12)-Model!D15*Model!D16</f>
        <v>21.1290568541</v>
      </c>
      <c r="M23" s="18">
        <v>0.001</v>
      </c>
      <c r="N23" s="19" t="str">
        <f>IF(ABS(Model!K23-Model!L23)&lt;=Model!M23,"PASS","FAIL")</f>
        <v>PASS</v>
      </c>
      <c r="O23" s="2"/>
      <c r="P23" s="2"/>
      <c r="Q23" s="2"/>
      <c r="R23" s="2"/>
      <c r="S23" s="2"/>
    </row>
    <row r="26" spans="10:19" x14ac:dyDescent="0.25">
      <c r="J26" s="20" t="s">
        <v>31</v>
      </c>
      <c r="K26" s="20"/>
      <c r="L26" s="20"/>
      <c r="M26" s="20"/>
      <c r="N26" s="20"/>
      <c r="O26" s="20"/>
      <c r="P26" s="20"/>
      <c r="Q26" s="20"/>
      <c r="R26" s="20"/>
      <c r="S26" s="20"/>
    </row>
  </sheetData>
  <mergeCells count="27">
    <mergeCell ref="B2:K2"/>
    <mergeCell ref="B3:K3"/>
    <mergeCell ref="B7:K7"/>
    <mergeCell ref="B8:K8"/>
    <mergeCell ref="B11:G11"/>
    <mergeCell ref="J11:O11"/>
    <mergeCell ref="B12:C12"/>
    <mergeCell ref="J12:K12"/>
    <mergeCell ref="B13:C13"/>
    <mergeCell ref="J13:K13"/>
    <mergeCell ref="B14:C14"/>
    <mergeCell ref="J14:K14"/>
    <mergeCell ref="B15:C15"/>
    <mergeCell ref="J15:K15"/>
    <mergeCell ref="B16:C16"/>
    <mergeCell ref="J16:K16"/>
    <mergeCell ref="B17:C17"/>
    <mergeCell ref="B18:C18"/>
    <mergeCell ref="B19:C19"/>
    <mergeCell ref="J19:S19"/>
    <mergeCell ref="B20:C20"/>
    <mergeCell ref="O20:S20"/>
    <mergeCell ref="B21:C21"/>
    <mergeCell ref="O21:S21"/>
    <mergeCell ref="O22:S22"/>
    <mergeCell ref="O23:S23"/>
    <mergeCell ref="J26:S26"/>
  </mergeCells>
  <conditionalFormatting sqref="N21">
    <cfRule type="cellIs" dxfId="0" priority="1" operator="equal">
      <formula>"PASS"</formula>
    </cfRule>
    <cfRule type="cellIs" dxfId="1" priority="2" operator="equal">
      <formula>"FAIL"</formula>
    </cfRule>
  </conditionalFormatting>
  <conditionalFormatting sqref="N22">
    <cfRule type="cellIs" dxfId="2" priority="1" operator="equal">
      <formula>"PASS"</formula>
    </cfRule>
    <cfRule type="cellIs" dxfId="3" priority="2" operator="equal">
      <formula>"FAIL"</formula>
    </cfRule>
  </conditionalFormatting>
  <conditionalFormatting sqref="N23">
    <cfRule type="cellIs" dxfId="4" priority="1" operator="equal">
      <formula>"PASS"</formula>
    </cfRule>
    <cfRule type="cellIs" dxfId="5" priority="2" operator="equal">
      <formula>"FAIL"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1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.5" customWidth="1"/>
    <col min="3" max="3" width="8" customWidth="1"/>
    <col min="4" max="4" width="10" customWidth="1"/>
    <col min="6" max="6" width="10" customWidth="1"/>
    <col min="7" max="7" width="12" customWidth="1"/>
    <col min="8" max="8" width="13" customWidth="1"/>
    <col min="9" max="9" width="14" customWidth="1"/>
    <col min="10" max="10" width="11" customWidth="1"/>
  </cols>
  <sheetData>
    <row r="2" ht="28" customHeight="1" spans="2:11" x14ac:dyDescent="0.25">
      <c r="B2" s="1" t="s">
        <v>32</v>
      </c>
      <c r="C2" s="1"/>
      <c r="D2" s="1"/>
      <c r="E2" s="1"/>
      <c r="F2" s="1"/>
      <c r="G2" s="1"/>
      <c r="H2" s="1"/>
      <c r="I2" s="1"/>
      <c r="J2" s="1"/>
      <c r="K2" s="1"/>
    </row>
    <row r="3" spans="2:11" x14ac:dyDescent="0.25">
      <c r="B3" s="2" t="s">
        <v>33</v>
      </c>
      <c r="C3" s="2"/>
      <c r="D3" s="2"/>
      <c r="E3" s="2"/>
      <c r="F3" s="2"/>
      <c r="G3" s="2"/>
      <c r="H3" s="2"/>
      <c r="I3" s="2"/>
      <c r="J3" s="2"/>
      <c r="K3" s="2"/>
    </row>
    <row r="4" ht="4" customHeight="1" spans="2:11" x14ac:dyDescent="0.25">
      <c r="B4" s="3"/>
      <c r="C4" s="3"/>
      <c r="D4" s="3"/>
      <c r="E4" s="3"/>
      <c r="F4" s="3"/>
      <c r="G4" s="3"/>
      <c r="H4" s="3"/>
      <c r="I4" s="4"/>
      <c r="J4" s="4"/>
      <c r="K4" s="4"/>
    </row>
    <row r="7" spans="2:10" x14ac:dyDescent="0.25">
      <c r="B7" s="21" t="s">
        <v>34</v>
      </c>
      <c r="C7" s="21" t="s">
        <v>35</v>
      </c>
      <c r="D7" s="21" t="s">
        <v>36</v>
      </c>
      <c r="E7" s="21" t="s">
        <v>37</v>
      </c>
      <c r="F7" s="21" t="s">
        <v>38</v>
      </c>
      <c r="G7" s="21" t="s">
        <v>39</v>
      </c>
      <c r="H7" s="21" t="s">
        <v>40</v>
      </c>
      <c r="I7" s="21" t="s">
        <v>41</v>
      </c>
      <c r="J7" s="21" t="s">
        <v>42</v>
      </c>
    </row>
    <row r="8" spans="2:10" x14ac:dyDescent="0.25">
      <c r="B8" s="12">
        <v>0</v>
      </c>
      <c r="C8" s="22">
        <f>Model!D15</f>
        <v>9</v>
      </c>
      <c r="D8" s="22">
        <f>Discharge!C8*Discharge!B8/60</f>
        <v>0</v>
      </c>
      <c r="E8" s="23">
        <f>MAX(0,1-Discharge!B8/Model!L12)</f>
        <v>1</v>
      </c>
      <c r="F8" s="22">
        <f>Model!D18+(Model!D17-Model!D18)*Discharge!E8</f>
        <v>25.4</v>
      </c>
      <c r="G8" s="22">
        <f>Discharge!F8-Discharge!C8*Model!D16</f>
        <v>24.32</v>
      </c>
      <c r="H8" s="24">
        <v>0</v>
      </c>
      <c r="I8" s="22">
        <f>Model!L13-Model!D20*Discharge!B8</f>
        <v>24.32</v>
      </c>
      <c r="J8" s="8" t="str">
        <f>IF(Discharge!B8&gt;Model!L12,"EMPTY",IF(Discharge!G8&lt;=Model!D19,"LIMP","NOMINAL"))</f>
        <v>NOMINAL</v>
      </c>
    </row>
    <row r="9" spans="2:10" x14ac:dyDescent="0.25">
      <c r="B9" s="12">
        <v>1</v>
      </c>
      <c r="C9" s="22">
        <f>Model!D15</f>
        <v>9</v>
      </c>
      <c r="D9" s="22">
        <f>Discharge!C9*Discharge!B9/60</f>
        <v>0.15</v>
      </c>
      <c r="E9" s="23">
        <f>MAX(0,1-Discharge!B9/Model!L12)</f>
        <v>0.989572081223</v>
      </c>
      <c r="F9" s="22">
        <f>Model!D18+(Model!D17-Model!D18)*Discharge!E9</f>
        <v>25.3645450762</v>
      </c>
      <c r="G9" s="22">
        <f>Discharge!F9-Discharge!C9*Model!D16</f>
        <v>24.2845450762</v>
      </c>
      <c r="H9" s="24">
        <f>Discharge!G9-Discharge!G8</f>
        <v>-0.0354549238431</v>
      </c>
      <c r="I9" s="22">
        <f>Model!L13-Model!D20*Discharge!B9</f>
        <v>24.27</v>
      </c>
      <c r="J9" s="8" t="str">
        <f>IF(Discharge!B9&gt;Model!L12,"EMPTY",IF(Discharge!G9&lt;=Model!D19,"LIMP","NOMINAL"))</f>
        <v>NOMINAL</v>
      </c>
    </row>
    <row r="10" spans="2:10" x14ac:dyDescent="0.25">
      <c r="B10" s="12">
        <v>2</v>
      </c>
      <c r="C10" s="22">
        <f>Model!D15</f>
        <v>9</v>
      </c>
      <c r="D10" s="22">
        <f>Discharge!C10*Discharge!B10/60</f>
        <v>0.3</v>
      </c>
      <c r="E10" s="23">
        <f>MAX(0,1-Discharge!B10/Model!L12)</f>
        <v>0.979144162445</v>
      </c>
      <c r="F10" s="22">
        <f>Model!D18+(Model!D17-Model!D18)*Discharge!E10</f>
        <v>25.3290901523</v>
      </c>
      <c r="G10" s="22">
        <f>Discharge!F10-Discharge!C10*Model!D16</f>
        <v>24.2490901523</v>
      </c>
      <c r="H10" s="24">
        <f>Discharge!G10-Discharge!G9</f>
        <v>-0.0354549238431</v>
      </c>
      <c r="I10" s="22">
        <f>Model!L13-Model!D20*Discharge!B10</f>
        <v>24.22</v>
      </c>
      <c r="J10" s="8" t="str">
        <f>IF(Discharge!B10&gt;Model!L12,"EMPTY",IF(Discharge!G10&lt;=Model!D19,"LIMP","NOMINAL"))</f>
        <v>NOMINAL</v>
      </c>
    </row>
    <row r="11" spans="2:10" x14ac:dyDescent="0.25">
      <c r="B11" s="12">
        <v>3</v>
      </c>
      <c r="C11" s="22">
        <f>Model!D15</f>
        <v>9</v>
      </c>
      <c r="D11" s="22">
        <f>Discharge!C11*Discharge!B11/60</f>
        <v>0.45</v>
      </c>
      <c r="E11" s="23">
        <f>MAX(0,1-Discharge!B11/Model!L12)</f>
        <v>0.968716243668</v>
      </c>
      <c r="F11" s="22">
        <f>Model!D18+(Model!D17-Model!D18)*Discharge!E11</f>
        <v>25.2936352285</v>
      </c>
      <c r="G11" s="22">
        <f>Discharge!F11-Discharge!C11*Model!D16</f>
        <v>24.2136352285</v>
      </c>
      <c r="H11" s="24">
        <f>Discharge!G11-Discharge!G10</f>
        <v>-0.0354549238431</v>
      </c>
      <c r="I11" s="22">
        <f>Model!L13-Model!D20*Discharge!B11</f>
        <v>24.17</v>
      </c>
      <c r="J11" s="8" t="str">
        <f>IF(Discharge!B11&gt;Model!L12,"EMPTY",IF(Discharge!G11&lt;=Model!D19,"LIMP","NOMINAL"))</f>
        <v>NOMINAL</v>
      </c>
    </row>
    <row r="12" spans="2:10" x14ac:dyDescent="0.25">
      <c r="B12" s="12">
        <v>4</v>
      </c>
      <c r="C12" s="22">
        <f>Model!D15</f>
        <v>9</v>
      </c>
      <c r="D12" s="22">
        <f>Discharge!C12*Discharge!B12/60</f>
        <v>0.6</v>
      </c>
      <c r="E12" s="23">
        <f>MAX(0,1-Discharge!B12/Model!L12)</f>
        <v>0.958288324891</v>
      </c>
      <c r="F12" s="22">
        <f>Model!D18+(Model!D17-Model!D18)*Discharge!E12</f>
        <v>25.2581803046</v>
      </c>
      <c r="G12" s="22">
        <f>Discharge!F12-Discharge!C12*Model!D16</f>
        <v>24.1781803046</v>
      </c>
      <c r="H12" s="24">
        <f>Discharge!G12-Discharge!G11</f>
        <v>-0.035454923843</v>
      </c>
      <c r="I12" s="22">
        <f>Model!L13-Model!D20*Discharge!B12</f>
        <v>24.12</v>
      </c>
      <c r="J12" s="8" t="str">
        <f>IF(Discharge!B12&gt;Model!L12,"EMPTY",IF(Discharge!G12&lt;=Model!D19,"LIMP","NOMINAL"))</f>
        <v>NOMINAL</v>
      </c>
    </row>
    <row r="13" spans="2:10" x14ac:dyDescent="0.25">
      <c r="B13" s="12">
        <v>5</v>
      </c>
      <c r="C13" s="22">
        <f>Model!D15</f>
        <v>9</v>
      </c>
      <c r="D13" s="22">
        <f>Discharge!C13*Discharge!B13/60</f>
        <v>0.75</v>
      </c>
      <c r="E13" s="23">
        <f>MAX(0,1-Discharge!B13/Model!L12)</f>
        <v>0.947860406113</v>
      </c>
      <c r="F13" s="22">
        <f>Model!D18+(Model!D17-Model!D18)*Discharge!E13</f>
        <v>25.2227253808</v>
      </c>
      <c r="G13" s="22">
        <f>Discharge!F13-Discharge!C13*Model!D16</f>
        <v>24.1427253808</v>
      </c>
      <c r="H13" s="24">
        <f>Discharge!G13-Discharge!G12</f>
        <v>-0.0354549238431</v>
      </c>
      <c r="I13" s="22">
        <f>Model!L13-Model!D20*Discharge!B13</f>
        <v>24.07</v>
      </c>
      <c r="J13" s="8" t="str">
        <f>IF(Discharge!B13&gt;Model!L12,"EMPTY",IF(Discharge!G13&lt;=Model!D19,"LIMP","NOMINAL"))</f>
        <v>NOMINAL</v>
      </c>
    </row>
    <row r="14" spans="2:10" x14ac:dyDescent="0.25">
      <c r="B14" s="12">
        <v>6</v>
      </c>
      <c r="C14" s="22">
        <f>Model!D15</f>
        <v>9</v>
      </c>
      <c r="D14" s="22">
        <f>Discharge!C14*Discharge!B14/60</f>
        <v>0.9</v>
      </c>
      <c r="E14" s="23">
        <f>MAX(0,1-Discharge!B14/Model!L12)</f>
        <v>0.937432487336</v>
      </c>
      <c r="F14" s="22">
        <f>Model!D18+(Model!D17-Model!D18)*Discharge!E14</f>
        <v>25.1872704569</v>
      </c>
      <c r="G14" s="22">
        <f>Discharge!F14-Discharge!C14*Model!D16</f>
        <v>24.1072704569</v>
      </c>
      <c r="H14" s="24">
        <f>Discharge!G14-Discharge!G13</f>
        <v>-0.0354549238431</v>
      </c>
      <c r="I14" s="22">
        <f>Model!L13-Model!D20*Discharge!B14</f>
        <v>24.02</v>
      </c>
      <c r="J14" s="8" t="str">
        <f>IF(Discharge!B14&gt;Model!L12,"EMPTY",IF(Discharge!G14&lt;=Model!D19,"LIMP","NOMINAL"))</f>
        <v>NOMINAL</v>
      </c>
    </row>
    <row r="15" spans="2:10" x14ac:dyDescent="0.25">
      <c r="B15" s="12">
        <v>7</v>
      </c>
      <c r="C15" s="22">
        <f>Model!D15</f>
        <v>9</v>
      </c>
      <c r="D15" s="22">
        <f>Discharge!C15*Discharge!B15/60</f>
        <v>1.05</v>
      </c>
      <c r="E15" s="23">
        <f>MAX(0,1-Discharge!B15/Model!L12)</f>
        <v>0.927004568558</v>
      </c>
      <c r="F15" s="22">
        <f>Model!D18+(Model!D17-Model!D18)*Discharge!E15</f>
        <v>25.1518155331</v>
      </c>
      <c r="G15" s="22">
        <f>Discharge!F15-Discharge!C15*Model!D16</f>
        <v>24.0718155331</v>
      </c>
      <c r="H15" s="24">
        <f>Discharge!G15-Discharge!G14</f>
        <v>-0.0354549238431</v>
      </c>
      <c r="I15" s="22">
        <f>Model!L13-Model!D20*Discharge!B15</f>
        <v>23.97</v>
      </c>
      <c r="J15" s="8" t="str">
        <f>IF(Discharge!B15&gt;Model!L12,"EMPTY",IF(Discharge!G15&lt;=Model!D19,"LIMP","NOMINAL"))</f>
        <v>NOMINAL</v>
      </c>
    </row>
    <row r="16" spans="2:10" x14ac:dyDescent="0.25">
      <c r="B16" s="12">
        <v>8</v>
      </c>
      <c r="C16" s="22">
        <f>Model!D15</f>
        <v>9</v>
      </c>
      <c r="D16" s="22">
        <f>Discharge!C16*Discharge!B16/60</f>
        <v>1.2</v>
      </c>
      <c r="E16" s="23">
        <f>MAX(0,1-Discharge!B16/Model!L12)</f>
        <v>0.916576649781</v>
      </c>
      <c r="F16" s="22">
        <f>Model!D18+(Model!D17-Model!D18)*Discharge!E16</f>
        <v>25.1163606093</v>
      </c>
      <c r="G16" s="22">
        <f>Discharge!F16-Discharge!C16*Model!D16</f>
        <v>24.0363606093</v>
      </c>
      <c r="H16" s="24">
        <f>Discharge!G16-Discharge!G15</f>
        <v>-0.0354549238431</v>
      </c>
      <c r="I16" s="22">
        <f>Model!L13-Model!D20*Discharge!B16</f>
        <v>23.92</v>
      </c>
      <c r="J16" s="8" t="str">
        <f>IF(Discharge!B16&gt;Model!L12,"EMPTY",IF(Discharge!G16&lt;=Model!D19,"LIMP","NOMINAL"))</f>
        <v>NOMINAL</v>
      </c>
    </row>
    <row r="17" spans="2:10" x14ac:dyDescent="0.25">
      <c r="B17" s="12">
        <v>9</v>
      </c>
      <c r="C17" s="22">
        <f>Model!D15</f>
        <v>9</v>
      </c>
      <c r="D17" s="22">
        <f>Discharge!C17*Discharge!B17/60</f>
        <v>1.35</v>
      </c>
      <c r="E17" s="23">
        <f>MAX(0,1-Discharge!B17/Model!L12)</f>
        <v>0.906148731004</v>
      </c>
      <c r="F17" s="22">
        <f>Model!D18+(Model!D17-Model!D18)*Discharge!E17</f>
        <v>25.0809056854</v>
      </c>
      <c r="G17" s="22">
        <f>Discharge!F17-Discharge!C17*Model!D16</f>
        <v>24.0009056854</v>
      </c>
      <c r="H17" s="24">
        <f>Discharge!G17-Discharge!G16</f>
        <v>-0.0354549238431</v>
      </c>
      <c r="I17" s="22">
        <f>Model!L13-Model!D20*Discharge!B17</f>
        <v>23.87</v>
      </c>
      <c r="J17" s="8" t="str">
        <f>IF(Discharge!B17&gt;Model!L12,"EMPTY",IF(Discharge!G17&lt;=Model!D19,"LIMP","NOMINAL"))</f>
        <v>NOMINAL</v>
      </c>
    </row>
    <row r="18" spans="2:10" x14ac:dyDescent="0.25">
      <c r="B18" s="12">
        <v>10</v>
      </c>
      <c r="C18" s="22">
        <f>Model!D15</f>
        <v>9</v>
      </c>
      <c r="D18" s="22">
        <f>Discharge!C18*Discharge!B18/60</f>
        <v>1.5</v>
      </c>
      <c r="E18" s="23">
        <f>MAX(0,1-Discharge!B18/Model!L12)</f>
        <v>0.895720812226</v>
      </c>
      <c r="F18" s="22">
        <f>Model!D18+(Model!D17-Model!D18)*Discharge!E18</f>
        <v>25.0454507616</v>
      </c>
      <c r="G18" s="22">
        <f>Discharge!F18-Discharge!C18*Model!D16</f>
        <v>23.9654507616</v>
      </c>
      <c r="H18" s="24">
        <f>Discharge!G18-Discharge!G17</f>
        <v>-0.0354549238431</v>
      </c>
      <c r="I18" s="22">
        <f>Model!L13-Model!D20*Discharge!B18</f>
        <v>23.82</v>
      </c>
      <c r="J18" s="8" t="str">
        <f>IF(Discharge!B18&gt;Model!L12,"EMPTY",IF(Discharge!G18&lt;=Model!D19,"LIMP","NOMINAL"))</f>
        <v>NOMINAL</v>
      </c>
    </row>
    <row r="19" spans="2:10" x14ac:dyDescent="0.25">
      <c r="B19" s="12">
        <v>11</v>
      </c>
      <c r="C19" s="22">
        <f>Model!D15</f>
        <v>9</v>
      </c>
      <c r="D19" s="22">
        <f>Discharge!C19*Discharge!B19/60</f>
        <v>1.65</v>
      </c>
      <c r="E19" s="23">
        <f>MAX(0,1-Discharge!B19/Model!L12)</f>
        <v>0.885292893449</v>
      </c>
      <c r="F19" s="22">
        <f>Model!D18+(Model!D17-Model!D18)*Discharge!E19</f>
        <v>25.0099958377</v>
      </c>
      <c r="G19" s="22">
        <f>Discharge!F19-Discharge!C19*Model!D16</f>
        <v>23.9299958377</v>
      </c>
      <c r="H19" s="24">
        <f>Discharge!G19-Discharge!G18</f>
        <v>-0.0354549238431</v>
      </c>
      <c r="I19" s="22">
        <f>Model!L13-Model!D20*Discharge!B19</f>
        <v>23.77</v>
      </c>
      <c r="J19" s="8" t="str">
        <f>IF(Discharge!B19&gt;Model!L12,"EMPTY",IF(Discharge!G19&lt;=Model!D19,"LIMP","NOMINAL"))</f>
        <v>NOMINAL</v>
      </c>
    </row>
    <row r="20" spans="2:10" x14ac:dyDescent="0.25">
      <c r="B20" s="12">
        <v>12</v>
      </c>
      <c r="C20" s="22">
        <f>Model!D15</f>
        <v>9</v>
      </c>
      <c r="D20" s="22">
        <f>Discharge!C20*Discharge!B20/60</f>
        <v>1.8</v>
      </c>
      <c r="E20" s="23">
        <f>MAX(0,1-Discharge!B20/Model!L12)</f>
        <v>0.874864974672</v>
      </c>
      <c r="F20" s="22">
        <f>Model!D18+(Model!D17-Model!D18)*Discharge!E20</f>
        <v>24.9745409139</v>
      </c>
      <c r="G20" s="22">
        <f>Discharge!F20-Discharge!C20*Model!D16</f>
        <v>23.8945409139</v>
      </c>
      <c r="H20" s="24">
        <f>Discharge!G20-Discharge!G19</f>
        <v>-0.0354549238431</v>
      </c>
      <c r="I20" s="22">
        <f>Model!L13-Model!D20*Discharge!B20</f>
        <v>23.72</v>
      </c>
      <c r="J20" s="8" t="str">
        <f>IF(Discharge!B20&gt;Model!L12,"EMPTY",IF(Discharge!G20&lt;=Model!D19,"LIMP","NOMINAL"))</f>
        <v>NOMINAL</v>
      </c>
    </row>
    <row r="21" spans="2:10" x14ac:dyDescent="0.25">
      <c r="B21" s="12">
        <v>13</v>
      </c>
      <c r="C21" s="22">
        <f>Model!D15</f>
        <v>9</v>
      </c>
      <c r="D21" s="22">
        <f>Discharge!C21*Discharge!B21/60</f>
        <v>1.95</v>
      </c>
      <c r="E21" s="23">
        <f>MAX(0,1-Discharge!B21/Model!L12)</f>
        <v>0.864437055894</v>
      </c>
      <c r="F21" s="22">
        <f>Model!D18+(Model!D17-Model!D18)*Discharge!E21</f>
        <v>24.93908599</v>
      </c>
      <c r="G21" s="22">
        <f>Discharge!F21-Discharge!C21*Model!D16</f>
        <v>23.85908599</v>
      </c>
      <c r="H21" s="24">
        <f>Discharge!G21-Discharge!G20</f>
        <v>-0.0354549238431</v>
      </c>
      <c r="I21" s="22">
        <f>Model!L13-Model!D20*Discharge!B21</f>
        <v>23.67</v>
      </c>
      <c r="J21" s="8" t="str">
        <f>IF(Discharge!B21&gt;Model!L12,"EMPTY",IF(Discharge!G21&lt;=Model!D19,"LIMP","NOMINAL"))</f>
        <v>NOMINAL</v>
      </c>
    </row>
    <row r="22" spans="2:10" x14ac:dyDescent="0.25">
      <c r="B22" s="12">
        <v>14</v>
      </c>
      <c r="C22" s="22">
        <f>Model!D15</f>
        <v>9</v>
      </c>
      <c r="D22" s="22">
        <f>Discharge!C22*Discharge!B22/60</f>
        <v>2.1</v>
      </c>
      <c r="E22" s="23">
        <f>MAX(0,1-Discharge!B22/Model!L12)</f>
        <v>0.854009137117</v>
      </c>
      <c r="F22" s="22">
        <f>Model!D18+(Model!D17-Model!D18)*Discharge!E22</f>
        <v>24.9036310662</v>
      </c>
      <c r="G22" s="22">
        <f>Discharge!F22-Discharge!C22*Model!D16</f>
        <v>23.8236310662</v>
      </c>
      <c r="H22" s="24">
        <f>Discharge!G22-Discharge!G21</f>
        <v>-0.0354549238431</v>
      </c>
      <c r="I22" s="22">
        <f>Model!L13-Model!D20*Discharge!B22</f>
        <v>23.62</v>
      </c>
      <c r="J22" s="8" t="str">
        <f>IF(Discharge!B22&gt;Model!L12,"EMPTY",IF(Discharge!G22&lt;=Model!D19,"LIMP","NOMINAL"))</f>
        <v>NOMINAL</v>
      </c>
    </row>
    <row r="23" spans="2:10" x14ac:dyDescent="0.25">
      <c r="B23" s="12">
        <v>15</v>
      </c>
      <c r="C23" s="22">
        <f>Model!D15</f>
        <v>9</v>
      </c>
      <c r="D23" s="22">
        <f>Discharge!C23*Discharge!B23/60</f>
        <v>2.25</v>
      </c>
      <c r="E23" s="23">
        <f>MAX(0,1-Discharge!B23/Model!L12)</f>
        <v>0.843581218339</v>
      </c>
      <c r="F23" s="22">
        <f>Model!D18+(Model!D17-Model!D18)*Discharge!E23</f>
        <v>24.8681761424</v>
      </c>
      <c r="G23" s="22">
        <f>Discharge!F23-Discharge!C23*Model!D16</f>
        <v>23.7881761424</v>
      </c>
      <c r="H23" s="24">
        <f>Discharge!G23-Discharge!G22</f>
        <v>-0.0354549238431</v>
      </c>
      <c r="I23" s="22">
        <f>Model!L13-Model!D20*Discharge!B23</f>
        <v>23.57</v>
      </c>
      <c r="J23" s="8" t="str">
        <f>IF(Discharge!B23&gt;Model!L12,"EMPTY",IF(Discharge!G23&lt;=Model!D19,"LIMP","NOMINAL"))</f>
        <v>NOMINAL</v>
      </c>
    </row>
    <row r="24" spans="2:10" x14ac:dyDescent="0.25">
      <c r="B24" s="12">
        <v>16</v>
      </c>
      <c r="C24" s="22">
        <f>Model!D15</f>
        <v>9</v>
      </c>
      <c r="D24" s="22">
        <f>Discharge!C24*Discharge!B24/60</f>
        <v>2.4</v>
      </c>
      <c r="E24" s="23">
        <f>MAX(0,1-Discharge!B24/Model!L12)</f>
        <v>0.833153299562</v>
      </c>
      <c r="F24" s="22">
        <f>Model!D18+(Model!D17-Model!D18)*Discharge!E24</f>
        <v>24.8327212185</v>
      </c>
      <c r="G24" s="22">
        <f>Discharge!F24-Discharge!C24*Model!D16</f>
        <v>23.7527212185</v>
      </c>
      <c r="H24" s="24">
        <f>Discharge!G24-Discharge!G23</f>
        <v>-0.0354549238431</v>
      </c>
      <c r="I24" s="22">
        <f>Model!L13-Model!D20*Discharge!B24</f>
        <v>23.52</v>
      </c>
      <c r="J24" s="8" t="str">
        <f>IF(Discharge!B24&gt;Model!L12,"EMPTY",IF(Discharge!G24&lt;=Model!D19,"LIMP","NOMINAL"))</f>
        <v>NOMINAL</v>
      </c>
    </row>
    <row r="25" spans="2:10" x14ac:dyDescent="0.25">
      <c r="B25" s="12">
        <v>17</v>
      </c>
      <c r="C25" s="22">
        <f>Model!D15</f>
        <v>9</v>
      </c>
      <c r="D25" s="22">
        <f>Discharge!C25*Discharge!B25/60</f>
        <v>2.55</v>
      </c>
      <c r="E25" s="23">
        <f>MAX(0,1-Discharge!B25/Model!L12)</f>
        <v>0.822725380785</v>
      </c>
      <c r="F25" s="22">
        <f>Model!D18+(Model!D17-Model!D18)*Discharge!E25</f>
        <v>24.7972662947</v>
      </c>
      <c r="G25" s="22">
        <f>Discharge!F25-Discharge!C25*Model!D16</f>
        <v>23.7172662947</v>
      </c>
      <c r="H25" s="24">
        <f>Discharge!G25-Discharge!G24</f>
        <v>-0.035454923843</v>
      </c>
      <c r="I25" s="22">
        <f>Model!L13-Model!D20*Discharge!B25</f>
        <v>23.47</v>
      </c>
      <c r="J25" s="8" t="str">
        <f>IF(Discharge!B25&gt;Model!L12,"EMPTY",IF(Discharge!G25&lt;=Model!D19,"LIMP","NOMINAL"))</f>
        <v>NOMINAL</v>
      </c>
    </row>
    <row r="26" spans="2:10" x14ac:dyDescent="0.25">
      <c r="B26" s="12">
        <v>18</v>
      </c>
      <c r="C26" s="22">
        <f>Model!D15</f>
        <v>9</v>
      </c>
      <c r="D26" s="22">
        <f>Discharge!C26*Discharge!B26/60</f>
        <v>2.7</v>
      </c>
      <c r="E26" s="23">
        <f>MAX(0,1-Discharge!B26/Model!L12)</f>
        <v>0.812297462007</v>
      </c>
      <c r="F26" s="22">
        <f>Model!D18+(Model!D17-Model!D18)*Discharge!E26</f>
        <v>24.7618113708</v>
      </c>
      <c r="G26" s="22">
        <f>Discharge!F26-Discharge!C26*Model!D16</f>
        <v>23.6818113708</v>
      </c>
      <c r="H26" s="24">
        <f>Discharge!G26-Discharge!G25</f>
        <v>-0.0354549238431</v>
      </c>
      <c r="I26" s="22">
        <f>Model!L13-Model!D20*Discharge!B26</f>
        <v>23.42</v>
      </c>
      <c r="J26" s="8" t="str">
        <f>IF(Discharge!B26&gt;Model!L12,"EMPTY",IF(Discharge!G26&lt;=Model!D19,"LIMP","NOMINAL"))</f>
        <v>NOMINAL</v>
      </c>
    </row>
    <row r="27" spans="2:10" x14ac:dyDescent="0.25">
      <c r="B27" s="12">
        <v>19</v>
      </c>
      <c r="C27" s="22">
        <f>Model!D15</f>
        <v>9</v>
      </c>
      <c r="D27" s="22">
        <f>Discharge!C27*Discharge!B27/60</f>
        <v>2.85</v>
      </c>
      <c r="E27" s="23">
        <f>MAX(0,1-Discharge!B27/Model!L12)</f>
        <v>0.80186954323</v>
      </c>
      <c r="F27" s="22">
        <f>Model!D18+(Model!D17-Model!D18)*Discharge!E27</f>
        <v>24.726356447</v>
      </c>
      <c r="G27" s="22">
        <f>Discharge!F27-Discharge!C27*Model!D16</f>
        <v>23.646356447</v>
      </c>
      <c r="H27" s="24">
        <f>Discharge!G27-Discharge!G26</f>
        <v>-0.0354549238431</v>
      </c>
      <c r="I27" s="22">
        <f>Model!L13-Model!D20*Discharge!B27</f>
        <v>23.37</v>
      </c>
      <c r="J27" s="8" t="str">
        <f>IF(Discharge!B27&gt;Model!L12,"EMPTY",IF(Discharge!G27&lt;=Model!D19,"LIMP","NOMINAL"))</f>
        <v>NOMINAL</v>
      </c>
    </row>
    <row r="28" spans="2:10" x14ac:dyDescent="0.25">
      <c r="B28" s="12">
        <v>20</v>
      </c>
      <c r="C28" s="22">
        <f>Model!D15</f>
        <v>9</v>
      </c>
      <c r="D28" s="22">
        <f>Discharge!C28*Discharge!B28/60</f>
        <v>3</v>
      </c>
      <c r="E28" s="23">
        <f>MAX(0,1-Discharge!B28/Model!L12)</f>
        <v>0.791441624453</v>
      </c>
      <c r="F28" s="22">
        <f>Model!D18+(Model!D17-Model!D18)*Discharge!E28</f>
        <v>24.6909015231</v>
      </c>
      <c r="G28" s="22">
        <f>Discharge!F28-Discharge!C28*Model!D16</f>
        <v>23.6109015231</v>
      </c>
      <c r="H28" s="24">
        <f>Discharge!G28-Discharge!G27</f>
        <v>-0.0354549238431</v>
      </c>
      <c r="I28" s="22">
        <f>Model!L13-Model!D20*Discharge!B28</f>
        <v>23.32</v>
      </c>
      <c r="J28" s="8" t="str">
        <f>IF(Discharge!B28&gt;Model!L12,"EMPTY",IF(Discharge!G28&lt;=Model!D19,"LIMP","NOMINAL"))</f>
        <v>NOMINAL</v>
      </c>
    </row>
    <row r="29" spans="2:10" x14ac:dyDescent="0.25">
      <c r="B29" s="12">
        <v>21</v>
      </c>
      <c r="C29" s="22">
        <f>Model!D15</f>
        <v>9</v>
      </c>
      <c r="D29" s="22">
        <f>Discharge!C29*Discharge!B29/60</f>
        <v>3.15</v>
      </c>
      <c r="E29" s="23">
        <f>MAX(0,1-Discharge!B29/Model!L12)</f>
        <v>0.781013705675</v>
      </c>
      <c r="F29" s="22">
        <f>Model!D18+(Model!D17-Model!D18)*Discharge!E29</f>
        <v>24.6554465993</v>
      </c>
      <c r="G29" s="22">
        <f>Discharge!F29-Discharge!C29*Model!D16</f>
        <v>23.5754465993</v>
      </c>
      <c r="H29" s="24">
        <f>Discharge!G29-Discharge!G28</f>
        <v>-0.0354549238431</v>
      </c>
      <c r="I29" s="22">
        <f>Model!L13-Model!D20*Discharge!B29</f>
        <v>23.27</v>
      </c>
      <c r="J29" s="8" t="str">
        <f>IF(Discharge!B29&gt;Model!L12,"EMPTY",IF(Discharge!G29&lt;=Model!D19,"LIMP","NOMINAL"))</f>
        <v>NOMINAL</v>
      </c>
    </row>
    <row r="30" spans="2:10" x14ac:dyDescent="0.25">
      <c r="B30" s="12">
        <v>22</v>
      </c>
      <c r="C30" s="22">
        <f>Model!D15</f>
        <v>9</v>
      </c>
      <c r="D30" s="22">
        <f>Discharge!C30*Discharge!B30/60</f>
        <v>3.3</v>
      </c>
      <c r="E30" s="23">
        <f>MAX(0,1-Discharge!B30/Model!L12)</f>
        <v>0.770585786898</v>
      </c>
      <c r="F30" s="22">
        <f>Model!D18+(Model!D17-Model!D18)*Discharge!E30</f>
        <v>24.6199916755</v>
      </c>
      <c r="G30" s="22">
        <f>Discharge!F30-Discharge!C30*Model!D16</f>
        <v>23.5399916755</v>
      </c>
      <c r="H30" s="24">
        <f>Discharge!G30-Discharge!G29</f>
        <v>-0.0354549238431</v>
      </c>
      <c r="I30" s="22">
        <f>Model!L13-Model!D20*Discharge!B30</f>
        <v>23.22</v>
      </c>
      <c r="J30" s="8" t="str">
        <f>IF(Discharge!B30&gt;Model!L12,"EMPTY",IF(Discharge!G30&lt;=Model!D19,"LIMP","NOMINAL"))</f>
        <v>NOMINAL</v>
      </c>
    </row>
    <row r="31" spans="2:10" x14ac:dyDescent="0.25">
      <c r="B31" s="12">
        <v>23</v>
      </c>
      <c r="C31" s="22">
        <f>Model!D15</f>
        <v>9</v>
      </c>
      <c r="D31" s="22">
        <f>Discharge!C31*Discharge!B31/60</f>
        <v>3.45</v>
      </c>
      <c r="E31" s="23">
        <f>MAX(0,1-Discharge!B31/Model!L12)</f>
        <v>0.760157868121</v>
      </c>
      <c r="F31" s="22">
        <f>Model!D18+(Model!D17-Model!D18)*Discharge!E31</f>
        <v>24.5845367516</v>
      </c>
      <c r="G31" s="22">
        <f>Discharge!F31-Discharge!C31*Model!D16</f>
        <v>23.5045367516</v>
      </c>
      <c r="H31" s="24">
        <f>Discharge!G31-Discharge!G30</f>
        <v>-0.035454923843</v>
      </c>
      <c r="I31" s="22">
        <f>Model!L13-Model!D20*Discharge!B31</f>
        <v>23.17</v>
      </c>
      <c r="J31" s="8" t="str">
        <f>IF(Discharge!B31&gt;Model!L12,"EMPTY",IF(Discharge!G31&lt;=Model!D19,"LIMP","NOMINAL"))</f>
        <v>NOMINAL</v>
      </c>
    </row>
    <row r="32" spans="2:10" x14ac:dyDescent="0.25">
      <c r="B32" s="12">
        <v>24</v>
      </c>
      <c r="C32" s="22">
        <f>Model!D15</f>
        <v>9</v>
      </c>
      <c r="D32" s="22">
        <f>Discharge!C32*Discharge!B32/60</f>
        <v>3.6</v>
      </c>
      <c r="E32" s="23">
        <f>MAX(0,1-Discharge!B32/Model!L12)</f>
        <v>0.749729949343</v>
      </c>
      <c r="F32" s="22">
        <f>Model!D18+(Model!D17-Model!D18)*Discharge!E32</f>
        <v>24.5490818278</v>
      </c>
      <c r="G32" s="22">
        <f>Discharge!F32-Discharge!C32*Model!D16</f>
        <v>23.4690818278</v>
      </c>
      <c r="H32" s="24">
        <f>Discharge!G32-Discharge!G31</f>
        <v>-0.0354549238431</v>
      </c>
      <c r="I32" s="22">
        <f>Model!L13-Model!D20*Discharge!B32</f>
        <v>23.12</v>
      </c>
      <c r="J32" s="8" t="str">
        <f>IF(Discharge!B32&gt;Model!L12,"EMPTY",IF(Discharge!G32&lt;=Model!D19,"LIMP","NOMINAL"))</f>
        <v>NOMINAL</v>
      </c>
    </row>
    <row r="33" spans="2:10" x14ac:dyDescent="0.25">
      <c r="B33" s="12">
        <v>25</v>
      </c>
      <c r="C33" s="22">
        <f>Model!D15</f>
        <v>9</v>
      </c>
      <c r="D33" s="22">
        <f>Discharge!C33*Discharge!B33/60</f>
        <v>3.75</v>
      </c>
      <c r="E33" s="23">
        <f>MAX(0,1-Discharge!B33/Model!L12)</f>
        <v>0.739302030566</v>
      </c>
      <c r="F33" s="22">
        <f>Model!D18+(Model!D17-Model!D18)*Discharge!E33</f>
        <v>24.5136269039</v>
      </c>
      <c r="G33" s="22">
        <f>Discharge!F33-Discharge!C33*Model!D16</f>
        <v>23.4336269039</v>
      </c>
      <c r="H33" s="24">
        <f>Discharge!G33-Discharge!G32</f>
        <v>-0.035454923843</v>
      </c>
      <c r="I33" s="22">
        <f>Model!L13-Model!D20*Discharge!B33</f>
        <v>23.07</v>
      </c>
      <c r="J33" s="8" t="str">
        <f>IF(Discharge!B33&gt;Model!L12,"EMPTY",IF(Discharge!G33&lt;=Model!D19,"LIMP","NOMINAL"))</f>
        <v>NOMINAL</v>
      </c>
    </row>
    <row r="34" spans="2:10" x14ac:dyDescent="0.25">
      <c r="B34" s="12">
        <v>26</v>
      </c>
      <c r="C34" s="22">
        <f>Model!D15</f>
        <v>9</v>
      </c>
      <c r="D34" s="22">
        <f>Discharge!C34*Discharge!B34/60</f>
        <v>3.9</v>
      </c>
      <c r="E34" s="23">
        <f>MAX(0,1-Discharge!B34/Model!L12)</f>
        <v>0.728874111788</v>
      </c>
      <c r="F34" s="22">
        <f>Model!D18+(Model!D17-Model!D18)*Discharge!E34</f>
        <v>24.4781719801</v>
      </c>
      <c r="G34" s="22">
        <f>Discharge!F34-Discharge!C34*Model!D16</f>
        <v>23.3981719801</v>
      </c>
      <c r="H34" s="24">
        <f>Discharge!G34-Discharge!G33</f>
        <v>-0.0354549238431</v>
      </c>
      <c r="I34" s="22">
        <f>Model!L13-Model!D20*Discharge!B34</f>
        <v>23.02</v>
      </c>
      <c r="J34" s="8" t="str">
        <f>IF(Discharge!B34&gt;Model!L12,"EMPTY",IF(Discharge!G34&lt;=Model!D19,"LIMP","NOMINAL"))</f>
        <v>NOMINAL</v>
      </c>
    </row>
    <row r="35" spans="2:10" x14ac:dyDescent="0.25">
      <c r="B35" s="12">
        <v>27</v>
      </c>
      <c r="C35" s="22">
        <f>Model!D15</f>
        <v>9</v>
      </c>
      <c r="D35" s="22">
        <f>Discharge!C35*Discharge!B35/60</f>
        <v>4.05</v>
      </c>
      <c r="E35" s="23">
        <f>MAX(0,1-Discharge!B35/Model!L12)</f>
        <v>0.718446193011</v>
      </c>
      <c r="F35" s="22">
        <f>Model!D18+(Model!D17-Model!D18)*Discharge!E35</f>
        <v>24.4427170562</v>
      </c>
      <c r="G35" s="22">
        <f>Discharge!F35-Discharge!C35*Model!D16</f>
        <v>23.3627170562</v>
      </c>
      <c r="H35" s="24">
        <f>Discharge!G35-Discharge!G34</f>
        <v>-0.035454923843</v>
      </c>
      <c r="I35" s="22">
        <f>Model!L13-Model!D20*Discharge!B35</f>
        <v>22.97</v>
      </c>
      <c r="J35" s="8" t="str">
        <f>IF(Discharge!B35&gt;Model!L12,"EMPTY",IF(Discharge!G35&lt;=Model!D19,"LIMP","NOMINAL"))</f>
        <v>NOMINAL</v>
      </c>
    </row>
    <row r="36" spans="2:10" x14ac:dyDescent="0.25">
      <c r="B36" s="12">
        <v>28</v>
      </c>
      <c r="C36" s="22">
        <f>Model!D15</f>
        <v>9</v>
      </c>
      <c r="D36" s="22">
        <f>Discharge!C36*Discharge!B36/60</f>
        <v>4.2</v>
      </c>
      <c r="E36" s="23">
        <f>MAX(0,1-Discharge!B36/Model!L12)</f>
        <v>0.708018274234</v>
      </c>
      <c r="F36" s="22">
        <f>Model!D18+(Model!D17-Model!D18)*Discharge!E36</f>
        <v>24.4072621324</v>
      </c>
      <c r="G36" s="22">
        <f>Discharge!F36-Discharge!C36*Model!D16</f>
        <v>23.3272621324</v>
      </c>
      <c r="H36" s="24">
        <f>Discharge!G36-Discharge!G35</f>
        <v>-0.0354549238431</v>
      </c>
      <c r="I36" s="22">
        <f>Model!L13-Model!D20*Discharge!B36</f>
        <v>22.92</v>
      </c>
      <c r="J36" s="8" t="str">
        <f>IF(Discharge!B36&gt;Model!L12,"EMPTY",IF(Discharge!G36&lt;=Model!D19,"LIMP","NOMINAL"))</f>
        <v>NOMINAL</v>
      </c>
    </row>
    <row r="37" spans="2:10" x14ac:dyDescent="0.25">
      <c r="B37" s="12">
        <v>29</v>
      </c>
      <c r="C37" s="22">
        <f>Model!D15</f>
        <v>9</v>
      </c>
      <c r="D37" s="22">
        <f>Discharge!C37*Discharge!B37/60</f>
        <v>4.35</v>
      </c>
      <c r="E37" s="23">
        <f>MAX(0,1-Discharge!B37/Model!L12)</f>
        <v>0.697590355456</v>
      </c>
      <c r="F37" s="22">
        <f>Model!D18+(Model!D17-Model!D18)*Discharge!E37</f>
        <v>24.3718072086</v>
      </c>
      <c r="G37" s="22">
        <f>Discharge!F37-Discharge!C37*Model!D16</f>
        <v>23.2918072086</v>
      </c>
      <c r="H37" s="24">
        <f>Discharge!G37-Discharge!G36</f>
        <v>-0.0354549238431</v>
      </c>
      <c r="I37" s="22">
        <f>Model!L13-Model!D20*Discharge!B37</f>
        <v>22.87</v>
      </c>
      <c r="J37" s="8" t="str">
        <f>IF(Discharge!B37&gt;Model!L12,"EMPTY",IF(Discharge!G37&lt;=Model!D19,"LIMP","NOMINAL"))</f>
        <v>NOMINAL</v>
      </c>
    </row>
    <row r="38" spans="2:10" x14ac:dyDescent="0.25">
      <c r="B38" s="12">
        <v>30</v>
      </c>
      <c r="C38" s="22">
        <f>Model!D15</f>
        <v>9</v>
      </c>
      <c r="D38" s="22">
        <f>Discharge!C38*Discharge!B38/60</f>
        <v>4.5</v>
      </c>
      <c r="E38" s="23">
        <f>MAX(0,1-Discharge!B38/Model!L12)</f>
        <v>0.687162436679</v>
      </c>
      <c r="F38" s="22">
        <f>Model!D18+(Model!D17-Model!D18)*Discharge!E38</f>
        <v>24.3363522847</v>
      </c>
      <c r="G38" s="22">
        <f>Discharge!F38-Discharge!C38*Model!D16</f>
        <v>23.2563522847</v>
      </c>
      <c r="H38" s="24">
        <f>Discharge!G38-Discharge!G37</f>
        <v>-0.0354549238431</v>
      </c>
      <c r="I38" s="22">
        <f>Model!L13-Model!D20*Discharge!B38</f>
        <v>22.82</v>
      </c>
      <c r="J38" s="8" t="str">
        <f>IF(Discharge!B38&gt;Model!L12,"EMPTY",IF(Discharge!G38&lt;=Model!D19,"LIMP","NOMINAL"))</f>
        <v>NOMINAL</v>
      </c>
    </row>
    <row r="39" spans="2:10" x14ac:dyDescent="0.25">
      <c r="B39" s="12">
        <v>31</v>
      </c>
      <c r="C39" s="22">
        <f>Model!D15</f>
        <v>9</v>
      </c>
      <c r="D39" s="22">
        <f>Discharge!C39*Discharge!B39/60</f>
        <v>4.65</v>
      </c>
      <c r="E39" s="23">
        <f>MAX(0,1-Discharge!B39/Model!L12)</f>
        <v>0.676734517902</v>
      </c>
      <c r="F39" s="22">
        <f>Model!D18+(Model!D17-Model!D18)*Discharge!E39</f>
        <v>24.3008973609</v>
      </c>
      <c r="G39" s="22">
        <f>Discharge!F39-Discharge!C39*Model!D16</f>
        <v>23.2208973609</v>
      </c>
      <c r="H39" s="24">
        <f>Discharge!G39-Discharge!G38</f>
        <v>-0.0354549238431</v>
      </c>
      <c r="I39" s="22">
        <f>Model!L13-Model!D20*Discharge!B39</f>
        <v>22.77</v>
      </c>
      <c r="J39" s="8" t="str">
        <f>IF(Discharge!B39&gt;Model!L12,"EMPTY",IF(Discharge!G39&lt;=Model!D19,"LIMP","NOMINAL"))</f>
        <v>NOMINAL</v>
      </c>
    </row>
    <row r="40" spans="2:10" x14ac:dyDescent="0.25">
      <c r="B40" s="12">
        <v>32</v>
      </c>
      <c r="C40" s="22">
        <f>Model!D15</f>
        <v>9</v>
      </c>
      <c r="D40" s="22">
        <f>Discharge!C40*Discharge!B40/60</f>
        <v>4.8</v>
      </c>
      <c r="E40" s="23">
        <f>MAX(0,1-Discharge!B40/Model!L12)</f>
        <v>0.666306599124</v>
      </c>
      <c r="F40" s="22">
        <f>Model!D18+(Model!D17-Model!D18)*Discharge!E40</f>
        <v>24.265442437</v>
      </c>
      <c r="G40" s="22">
        <f>Discharge!F40-Discharge!C40*Model!D16</f>
        <v>23.185442437</v>
      </c>
      <c r="H40" s="24">
        <f>Discharge!G40-Discharge!G39</f>
        <v>-0.0354549238431</v>
      </c>
      <c r="I40" s="22">
        <f>Model!L13-Model!D20*Discharge!B40</f>
        <v>22.72</v>
      </c>
      <c r="J40" s="8" t="str">
        <f>IF(Discharge!B40&gt;Model!L12,"EMPTY",IF(Discharge!G40&lt;=Model!D19,"LIMP","NOMINAL"))</f>
        <v>NOMINAL</v>
      </c>
    </row>
    <row r="41" spans="2:10" x14ac:dyDescent="0.25">
      <c r="B41" s="12">
        <v>33</v>
      </c>
      <c r="C41" s="22">
        <f>Model!D15</f>
        <v>9</v>
      </c>
      <c r="D41" s="22">
        <f>Discharge!C41*Discharge!B41/60</f>
        <v>4.95</v>
      </c>
      <c r="E41" s="23">
        <f>MAX(0,1-Discharge!B41/Model!L12)</f>
        <v>0.655878680347</v>
      </c>
      <c r="F41" s="22">
        <f>Model!D18+(Model!D17-Model!D18)*Discharge!E41</f>
        <v>24.2299875132</v>
      </c>
      <c r="G41" s="22">
        <f>Discharge!F41-Discharge!C41*Model!D16</f>
        <v>23.1499875132</v>
      </c>
      <c r="H41" s="24">
        <f>Discharge!G41-Discharge!G40</f>
        <v>-0.0354549238431</v>
      </c>
      <c r="I41" s="22">
        <f>Model!L13-Model!D20*Discharge!B41</f>
        <v>22.67</v>
      </c>
      <c r="J41" s="8" t="str">
        <f>IF(Discharge!B41&gt;Model!L12,"EMPTY",IF(Discharge!G41&lt;=Model!D19,"LIMP","NOMINAL"))</f>
        <v>NOMINAL</v>
      </c>
    </row>
    <row r="42" spans="2:10" x14ac:dyDescent="0.25">
      <c r="B42" s="12">
        <v>34</v>
      </c>
      <c r="C42" s="22">
        <f>Model!D15</f>
        <v>9</v>
      </c>
      <c r="D42" s="22">
        <f>Discharge!C42*Discharge!B42/60</f>
        <v>5.1</v>
      </c>
      <c r="E42" s="23">
        <f>MAX(0,1-Discharge!B42/Model!L12)</f>
        <v>0.645450761569</v>
      </c>
      <c r="F42" s="22">
        <f>Model!D18+(Model!D17-Model!D18)*Discharge!E42</f>
        <v>24.1945325893</v>
      </c>
      <c r="G42" s="22">
        <f>Discharge!F42-Discharge!C42*Model!D16</f>
        <v>23.1145325893</v>
      </c>
      <c r="H42" s="24">
        <f>Discharge!G42-Discharge!G41</f>
        <v>-0.0354549238431</v>
      </c>
      <c r="I42" s="22">
        <f>Model!L13-Model!D20*Discharge!B42</f>
        <v>22.62</v>
      </c>
      <c r="J42" s="8" t="str">
        <f>IF(Discharge!B42&gt;Model!L12,"EMPTY",IF(Discharge!G42&lt;=Model!D19,"LIMP","NOMINAL"))</f>
        <v>NOMINAL</v>
      </c>
    </row>
    <row r="43" spans="2:10" x14ac:dyDescent="0.25">
      <c r="B43" s="12">
        <v>35</v>
      </c>
      <c r="C43" s="22">
        <f>Model!D15</f>
        <v>9</v>
      </c>
      <c r="D43" s="22">
        <f>Discharge!C43*Discharge!B43/60</f>
        <v>5.25</v>
      </c>
      <c r="E43" s="23">
        <f>MAX(0,1-Discharge!B43/Model!L12)</f>
        <v>0.635022842792</v>
      </c>
      <c r="F43" s="22">
        <f>Model!D18+(Model!D17-Model!D18)*Discharge!E43</f>
        <v>24.1590776655</v>
      </c>
      <c r="G43" s="22">
        <f>Discharge!F43-Discharge!C43*Model!D16</f>
        <v>23.0790776655</v>
      </c>
      <c r="H43" s="24">
        <f>Discharge!G43-Discharge!G42</f>
        <v>-0.0354549238431</v>
      </c>
      <c r="I43" s="22">
        <f>Model!L13-Model!D20*Discharge!B43</f>
        <v>22.57</v>
      </c>
      <c r="J43" s="8" t="str">
        <f>IF(Discharge!B43&gt;Model!L12,"EMPTY",IF(Discharge!G43&lt;=Model!D19,"LIMP","NOMINAL"))</f>
        <v>NOMINAL</v>
      </c>
    </row>
    <row r="44" spans="2:10" x14ac:dyDescent="0.25">
      <c r="B44" s="12">
        <v>36</v>
      </c>
      <c r="C44" s="22">
        <f>Model!D15</f>
        <v>9</v>
      </c>
      <c r="D44" s="22">
        <f>Discharge!C44*Discharge!B44/60</f>
        <v>5.4</v>
      </c>
      <c r="E44" s="23">
        <f>MAX(0,1-Discharge!B44/Model!L12)</f>
        <v>0.624594924015</v>
      </c>
      <c r="F44" s="22">
        <f>Model!D18+(Model!D17-Model!D18)*Discharge!E44</f>
        <v>24.1236227416</v>
      </c>
      <c r="G44" s="22">
        <f>Discharge!F44-Discharge!C44*Model!D16</f>
        <v>23.0436227416</v>
      </c>
      <c r="H44" s="24">
        <f>Discharge!G44-Discharge!G43</f>
        <v>-0.0354549238431</v>
      </c>
      <c r="I44" s="22">
        <f>Model!L13-Model!D20*Discharge!B44</f>
        <v>22.52</v>
      </c>
      <c r="J44" s="8" t="str">
        <f>IF(Discharge!B44&gt;Model!L12,"EMPTY",IF(Discharge!G44&lt;=Model!D19,"LIMP","NOMINAL"))</f>
        <v>NOMINAL</v>
      </c>
    </row>
    <row r="45" spans="2:10" x14ac:dyDescent="0.25">
      <c r="B45" s="12">
        <v>37</v>
      </c>
      <c r="C45" s="22">
        <f>Model!D15</f>
        <v>9</v>
      </c>
      <c r="D45" s="22">
        <f>Discharge!C45*Discharge!B45/60</f>
        <v>5.55</v>
      </c>
      <c r="E45" s="23">
        <f>MAX(0,1-Discharge!B45/Model!L12)</f>
        <v>0.614167005237</v>
      </c>
      <c r="F45" s="22">
        <f>Model!D18+(Model!D17-Model!D18)*Discharge!E45</f>
        <v>24.0881678178</v>
      </c>
      <c r="G45" s="22">
        <f>Discharge!F45-Discharge!C45*Model!D16</f>
        <v>23.0081678178</v>
      </c>
      <c r="H45" s="24">
        <f>Discharge!G45-Discharge!G44</f>
        <v>-0.0354549238431</v>
      </c>
      <c r="I45" s="22">
        <f>Model!L13-Model!D20*Discharge!B45</f>
        <v>22.47</v>
      </c>
      <c r="J45" s="8" t="str">
        <f>IF(Discharge!B45&gt;Model!L12,"EMPTY",IF(Discharge!G45&lt;=Model!D19,"LIMP","NOMINAL"))</f>
        <v>NOMINAL</v>
      </c>
    </row>
    <row r="46" spans="2:10" x14ac:dyDescent="0.25">
      <c r="B46" s="12">
        <v>38</v>
      </c>
      <c r="C46" s="22">
        <f>Model!D15</f>
        <v>9</v>
      </c>
      <c r="D46" s="22">
        <f>Discharge!C46*Discharge!B46/60</f>
        <v>5.7</v>
      </c>
      <c r="E46" s="23">
        <f>MAX(0,1-Discharge!B46/Model!L12)</f>
        <v>0.60373908646</v>
      </c>
      <c r="F46" s="22">
        <f>Model!D18+(Model!D17-Model!D18)*Discharge!E46</f>
        <v>24.052712894</v>
      </c>
      <c r="G46" s="22">
        <f>Discharge!F46-Discharge!C46*Model!D16</f>
        <v>22.972712894</v>
      </c>
      <c r="H46" s="24">
        <f>Discharge!G46-Discharge!G45</f>
        <v>-0.0354549238431</v>
      </c>
      <c r="I46" s="22">
        <f>Model!L13-Model!D20*Discharge!B46</f>
        <v>22.42</v>
      </c>
      <c r="J46" s="8" t="str">
        <f>IF(Discharge!B46&gt;Model!L12,"EMPTY",IF(Discharge!G46&lt;=Model!D19,"LIMP","NOMINAL"))</f>
        <v>NOMINAL</v>
      </c>
    </row>
    <row r="47" spans="2:10" x14ac:dyDescent="0.25">
      <c r="B47" s="12">
        <v>39</v>
      </c>
      <c r="C47" s="22">
        <f>Model!D15</f>
        <v>9</v>
      </c>
      <c r="D47" s="22">
        <f>Discharge!C47*Discharge!B47/60</f>
        <v>5.85</v>
      </c>
      <c r="E47" s="23">
        <f>MAX(0,1-Discharge!B47/Model!L12)</f>
        <v>0.593311167683</v>
      </c>
      <c r="F47" s="22">
        <f>Model!D18+(Model!D17-Model!D18)*Discharge!E47</f>
        <v>24.0172579701</v>
      </c>
      <c r="G47" s="22">
        <f>Discharge!F47-Discharge!C47*Model!D16</f>
        <v>22.9372579701</v>
      </c>
      <c r="H47" s="24">
        <f>Discharge!G47-Discharge!G46</f>
        <v>-0.0354549238431</v>
      </c>
      <c r="I47" s="22">
        <f>Model!L13-Model!D20*Discharge!B47</f>
        <v>22.37</v>
      </c>
      <c r="J47" s="8" t="str">
        <f>IF(Discharge!B47&gt;Model!L12,"EMPTY",IF(Discharge!G47&lt;=Model!D19,"LIMP","NOMINAL"))</f>
        <v>NOMINAL</v>
      </c>
    </row>
    <row r="48" spans="2:10" x14ac:dyDescent="0.25">
      <c r="B48" s="12">
        <v>40</v>
      </c>
      <c r="C48" s="22">
        <f>Model!D15</f>
        <v>9</v>
      </c>
      <c r="D48" s="22">
        <f>Discharge!C48*Discharge!B48/60</f>
        <v>6</v>
      </c>
      <c r="E48" s="23">
        <f>MAX(0,1-Discharge!B48/Model!L12)</f>
        <v>0.582883248905</v>
      </c>
      <c r="F48" s="22">
        <f>Model!D18+(Model!D17-Model!D18)*Discharge!E48</f>
        <v>23.9818030463</v>
      </c>
      <c r="G48" s="22">
        <f>Discharge!F48-Discharge!C48*Model!D16</f>
        <v>22.9018030463</v>
      </c>
      <c r="H48" s="24">
        <f>Discharge!G48-Discharge!G47</f>
        <v>-0.0354549238431</v>
      </c>
      <c r="I48" s="22">
        <f>Model!L13-Model!D20*Discharge!B48</f>
        <v>22.32</v>
      </c>
      <c r="J48" s="8" t="str">
        <f>IF(Discharge!B48&gt;Model!L12,"EMPTY",IF(Discharge!G48&lt;=Model!D19,"LIMP","NOMINAL"))</f>
        <v>NOMINAL</v>
      </c>
    </row>
    <row r="49" spans="2:10" x14ac:dyDescent="0.25">
      <c r="B49" s="12">
        <v>41</v>
      </c>
      <c r="C49" s="22">
        <f>Model!D15</f>
        <v>9</v>
      </c>
      <c r="D49" s="22">
        <f>Discharge!C49*Discharge!B49/60</f>
        <v>6.15</v>
      </c>
      <c r="E49" s="23">
        <f>MAX(0,1-Discharge!B49/Model!L12)</f>
        <v>0.572455330128</v>
      </c>
      <c r="F49" s="22">
        <f>Model!D18+(Model!D17-Model!D18)*Discharge!E49</f>
        <v>23.9463481224</v>
      </c>
      <c r="G49" s="22">
        <f>Discharge!F49-Discharge!C49*Model!D16</f>
        <v>22.8663481224</v>
      </c>
      <c r="H49" s="24">
        <f>Discharge!G49-Discharge!G48</f>
        <v>-0.0354549238431</v>
      </c>
      <c r="I49" s="22">
        <f>Model!L13-Model!D20*Discharge!B49</f>
        <v>22.27</v>
      </c>
      <c r="J49" s="8" t="str">
        <f>IF(Discharge!B49&gt;Model!L12,"EMPTY",IF(Discharge!G49&lt;=Model!D19,"LIMP","NOMINAL"))</f>
        <v>NOMINAL</v>
      </c>
    </row>
    <row r="50" spans="2:10" x14ac:dyDescent="0.25">
      <c r="B50" s="12">
        <v>42</v>
      </c>
      <c r="C50" s="22">
        <f>Model!D15</f>
        <v>9</v>
      </c>
      <c r="D50" s="22">
        <f>Discharge!C50*Discharge!B50/60</f>
        <v>6.3</v>
      </c>
      <c r="E50" s="23">
        <f>MAX(0,1-Discharge!B50/Model!L12)</f>
        <v>0.56202741135</v>
      </c>
      <c r="F50" s="22">
        <f>Model!D18+(Model!D17-Model!D18)*Discharge!E50</f>
        <v>23.9108931986</v>
      </c>
      <c r="G50" s="22">
        <f>Discharge!F50-Discharge!C50*Model!D16</f>
        <v>22.8308931986</v>
      </c>
      <c r="H50" s="24">
        <f>Discharge!G50-Discharge!G49</f>
        <v>-0.0354549238431</v>
      </c>
      <c r="I50" s="22">
        <f>Model!L13-Model!D20*Discharge!B50</f>
        <v>22.22</v>
      </c>
      <c r="J50" s="8" t="str">
        <f>IF(Discharge!B50&gt;Model!L12,"EMPTY",IF(Discharge!G50&lt;=Model!D19,"LIMP","NOMINAL"))</f>
        <v>NOMINAL</v>
      </c>
    </row>
    <row r="51" spans="2:10" x14ac:dyDescent="0.25">
      <c r="B51" s="12">
        <v>43</v>
      </c>
      <c r="C51" s="22">
        <f>Model!D15</f>
        <v>9</v>
      </c>
      <c r="D51" s="22">
        <f>Discharge!C51*Discharge!B51/60</f>
        <v>6.45</v>
      </c>
      <c r="E51" s="23">
        <f>MAX(0,1-Discharge!B51/Model!L12)</f>
        <v>0.551599492573</v>
      </c>
      <c r="F51" s="22">
        <f>Model!D18+(Model!D17-Model!D18)*Discharge!E51</f>
        <v>23.8754382747</v>
      </c>
      <c r="G51" s="22">
        <f>Discharge!F51-Discharge!C51*Model!D16</f>
        <v>22.7954382747</v>
      </c>
      <c r="H51" s="24">
        <f>Discharge!G51-Discharge!G50</f>
        <v>-0.0354549238431</v>
      </c>
      <c r="I51" s="22">
        <f>Model!L13-Model!D20*Discharge!B51</f>
        <v>22.17</v>
      </c>
      <c r="J51" s="8" t="str">
        <f>IF(Discharge!B51&gt;Model!L12,"EMPTY",IF(Discharge!G51&lt;=Model!D19,"LIMP","NOMINAL"))</f>
        <v>NOMINAL</v>
      </c>
    </row>
    <row r="52" spans="2:10" x14ac:dyDescent="0.25">
      <c r="B52" s="12">
        <v>44</v>
      </c>
      <c r="C52" s="22">
        <f>Model!D15</f>
        <v>9</v>
      </c>
      <c r="D52" s="22">
        <f>Discharge!C52*Discharge!B52/60</f>
        <v>6.6</v>
      </c>
      <c r="E52" s="23">
        <f>MAX(0,1-Discharge!B52/Model!L12)</f>
        <v>0.541171573796</v>
      </c>
      <c r="F52" s="22">
        <f>Model!D18+(Model!D17-Model!D18)*Discharge!E52</f>
        <v>23.8399833509</v>
      </c>
      <c r="G52" s="22">
        <f>Discharge!F52-Discharge!C52*Model!D16</f>
        <v>22.7599833509</v>
      </c>
      <c r="H52" s="24">
        <f>Discharge!G52-Discharge!G51</f>
        <v>-0.0354549238431</v>
      </c>
      <c r="I52" s="22">
        <f>Model!L13-Model!D20*Discharge!B52</f>
        <v>22.12</v>
      </c>
      <c r="J52" s="8" t="str">
        <f>IF(Discharge!B52&gt;Model!L12,"EMPTY",IF(Discharge!G52&lt;=Model!D19,"LIMP","NOMINAL"))</f>
        <v>NOMINAL</v>
      </c>
    </row>
    <row r="53" spans="2:10" x14ac:dyDescent="0.25">
      <c r="B53" s="12">
        <v>45</v>
      </c>
      <c r="C53" s="22">
        <f>Model!D15</f>
        <v>9</v>
      </c>
      <c r="D53" s="22">
        <f>Discharge!C53*Discharge!B53/60</f>
        <v>6.75</v>
      </c>
      <c r="E53" s="23">
        <f>MAX(0,1-Discharge!B53/Model!L12)</f>
        <v>0.530743655018</v>
      </c>
      <c r="F53" s="22">
        <f>Model!D18+(Model!D17-Model!D18)*Discharge!E53</f>
        <v>23.8045284271</v>
      </c>
      <c r="G53" s="22">
        <f>Discharge!F53-Discharge!C53*Model!D16</f>
        <v>22.7245284271</v>
      </c>
      <c r="H53" s="24">
        <f>Discharge!G53-Discharge!G52</f>
        <v>-0.0354549238431</v>
      </c>
      <c r="I53" s="22">
        <f>Model!L13-Model!D20*Discharge!B53</f>
        <v>22.07</v>
      </c>
      <c r="J53" s="8" t="str">
        <f>IF(Discharge!B53&gt;Model!L12,"EMPTY",IF(Discharge!G53&lt;=Model!D19,"LIMP","NOMINAL"))</f>
        <v>NOMINAL</v>
      </c>
    </row>
    <row r="54" spans="2:10" x14ac:dyDescent="0.25">
      <c r="B54" s="12">
        <v>46</v>
      </c>
      <c r="C54" s="22">
        <f>Model!D15</f>
        <v>9</v>
      </c>
      <c r="D54" s="22">
        <f>Discharge!C54*Discharge!B54/60</f>
        <v>6.9</v>
      </c>
      <c r="E54" s="23">
        <f>MAX(0,1-Discharge!B54/Model!L12)</f>
        <v>0.520315736241</v>
      </c>
      <c r="F54" s="22">
        <f>Model!D18+(Model!D17-Model!D18)*Discharge!E54</f>
        <v>23.7690735032</v>
      </c>
      <c r="G54" s="22">
        <f>Discharge!F54-Discharge!C54*Model!D16</f>
        <v>22.6890735032</v>
      </c>
      <c r="H54" s="24">
        <f>Discharge!G54-Discharge!G53</f>
        <v>-0.035454923843</v>
      </c>
      <c r="I54" s="22">
        <f>Model!L13-Model!D20*Discharge!B54</f>
        <v>22.02</v>
      </c>
      <c r="J54" s="8" t="str">
        <f>IF(Discharge!B54&gt;Model!L12,"EMPTY",IF(Discharge!G54&lt;=Model!D19,"LIMP","NOMINAL"))</f>
        <v>NOMINAL</v>
      </c>
    </row>
    <row r="55" spans="2:10" x14ac:dyDescent="0.25">
      <c r="B55" s="12">
        <v>47</v>
      </c>
      <c r="C55" s="22">
        <f>Model!D15</f>
        <v>9</v>
      </c>
      <c r="D55" s="22">
        <f>Discharge!C55*Discharge!B55/60</f>
        <v>7.05</v>
      </c>
      <c r="E55" s="23">
        <f>MAX(0,1-Discharge!B55/Model!L12)</f>
        <v>0.509887817464</v>
      </c>
      <c r="F55" s="22">
        <f>Model!D18+(Model!D17-Model!D18)*Discharge!E55</f>
        <v>23.7336185794</v>
      </c>
      <c r="G55" s="22">
        <f>Discharge!F55-Discharge!C55*Model!D16</f>
        <v>22.6536185794</v>
      </c>
      <c r="H55" s="24">
        <f>Discharge!G55-Discharge!G54</f>
        <v>-0.0354549238431</v>
      </c>
      <c r="I55" s="22">
        <f>Model!L13-Model!D20*Discharge!B55</f>
        <v>21.97</v>
      </c>
      <c r="J55" s="8" t="str">
        <f>IF(Discharge!B55&gt;Model!L12,"EMPTY",IF(Discharge!G55&lt;=Model!D19,"LIMP","NOMINAL"))</f>
        <v>NOMINAL</v>
      </c>
    </row>
    <row r="56" spans="2:10" x14ac:dyDescent="0.25">
      <c r="B56" s="12">
        <v>48</v>
      </c>
      <c r="C56" s="22">
        <f>Model!D15</f>
        <v>9</v>
      </c>
      <c r="D56" s="22">
        <f>Discharge!C56*Discharge!B56/60</f>
        <v>7.2</v>
      </c>
      <c r="E56" s="23">
        <f>MAX(0,1-Discharge!B56/Model!L12)</f>
        <v>0.499459898686</v>
      </c>
      <c r="F56" s="22">
        <f>Model!D18+(Model!D17-Model!D18)*Discharge!E56</f>
        <v>23.6981636555</v>
      </c>
      <c r="G56" s="22">
        <f>Discharge!F56-Discharge!C56*Model!D16</f>
        <v>22.6181636555</v>
      </c>
      <c r="H56" s="24">
        <f>Discharge!G56-Discharge!G55</f>
        <v>-0.0354549238431</v>
      </c>
      <c r="I56" s="22">
        <f>Model!L13-Model!D20*Discharge!B56</f>
        <v>21.92</v>
      </c>
      <c r="J56" s="8" t="str">
        <f>IF(Discharge!B56&gt;Model!L12,"EMPTY",IF(Discharge!G56&lt;=Model!D19,"LIMP","NOMINAL"))</f>
        <v>NOMINAL</v>
      </c>
    </row>
    <row r="57" spans="2:10" x14ac:dyDescent="0.25">
      <c r="B57" s="12">
        <v>49</v>
      </c>
      <c r="C57" s="22">
        <f>Model!D15</f>
        <v>9</v>
      </c>
      <c r="D57" s="22">
        <f>Discharge!C57*Discharge!B57/60</f>
        <v>7.35</v>
      </c>
      <c r="E57" s="23">
        <f>MAX(0,1-Discharge!B57/Model!L12)</f>
        <v>0.489031979909</v>
      </c>
      <c r="F57" s="22">
        <f>Model!D18+(Model!D17-Model!D18)*Discharge!E57</f>
        <v>23.6627087317</v>
      </c>
      <c r="G57" s="22">
        <f>Discharge!F57-Discharge!C57*Model!D16</f>
        <v>22.5827087317</v>
      </c>
      <c r="H57" s="24">
        <f>Discharge!G57-Discharge!G56</f>
        <v>-0.0354549238431</v>
      </c>
      <c r="I57" s="22">
        <f>Model!L13-Model!D20*Discharge!B57</f>
        <v>21.87</v>
      </c>
      <c r="J57" s="8" t="str">
        <f>IF(Discharge!B57&gt;Model!L12,"EMPTY",IF(Discharge!G57&lt;=Model!D19,"LIMP","NOMINAL"))</f>
        <v>NOMINAL</v>
      </c>
    </row>
    <row r="58" spans="2:10" x14ac:dyDescent="0.25">
      <c r="B58" s="12">
        <v>50</v>
      </c>
      <c r="C58" s="22">
        <f>Model!D15</f>
        <v>9</v>
      </c>
      <c r="D58" s="22">
        <f>Discharge!C58*Discharge!B58/60</f>
        <v>7.5</v>
      </c>
      <c r="E58" s="23">
        <f>MAX(0,1-Discharge!B58/Model!L12)</f>
        <v>0.478604061132</v>
      </c>
      <c r="F58" s="22">
        <f>Model!D18+(Model!D17-Model!D18)*Discharge!E58</f>
        <v>23.6272538078</v>
      </c>
      <c r="G58" s="22">
        <f>Discharge!F58-Discharge!C58*Model!D16</f>
        <v>22.5472538078</v>
      </c>
      <c r="H58" s="24">
        <f>Discharge!G58-Discharge!G57</f>
        <v>-0.035454923843</v>
      </c>
      <c r="I58" s="22">
        <f>Model!L13-Model!D20*Discharge!B58</f>
        <v>21.82</v>
      </c>
      <c r="J58" s="8" t="str">
        <f>IF(Discharge!B58&gt;Model!L12,"EMPTY",IF(Discharge!G58&lt;=Model!D19,"LIMP","NOMINAL"))</f>
        <v>NOMINAL</v>
      </c>
    </row>
    <row r="59" spans="2:10" x14ac:dyDescent="0.25">
      <c r="B59" s="12">
        <v>51</v>
      </c>
      <c r="C59" s="22">
        <f>Model!D15</f>
        <v>9</v>
      </c>
      <c r="D59" s="22">
        <f>Discharge!C59*Discharge!B59/60</f>
        <v>7.65</v>
      </c>
      <c r="E59" s="23">
        <f>MAX(0,1-Discharge!B59/Model!L12)</f>
        <v>0.468176142354</v>
      </c>
      <c r="F59" s="22">
        <f>Model!D18+(Model!D17-Model!D18)*Discharge!E59</f>
        <v>23.591798884</v>
      </c>
      <c r="G59" s="22">
        <f>Discharge!F59-Discharge!C59*Model!D16</f>
        <v>22.511798884</v>
      </c>
      <c r="H59" s="24">
        <f>Discharge!G59-Discharge!G58</f>
        <v>-0.0354549238431</v>
      </c>
      <c r="I59" s="22">
        <f>Model!L13-Model!D20*Discharge!B59</f>
        <v>21.77</v>
      </c>
      <c r="J59" s="8" t="str">
        <f>IF(Discharge!B59&gt;Model!L12,"EMPTY",IF(Discharge!G59&lt;=Model!D19,"LIMP","NOMINAL"))</f>
        <v>NOMINAL</v>
      </c>
    </row>
    <row r="60" spans="2:10" x14ac:dyDescent="0.25">
      <c r="B60" s="12">
        <v>52</v>
      </c>
      <c r="C60" s="22">
        <f>Model!D15</f>
        <v>9</v>
      </c>
      <c r="D60" s="22">
        <f>Discharge!C60*Discharge!B60/60</f>
        <v>7.8</v>
      </c>
      <c r="E60" s="23">
        <f>MAX(0,1-Discharge!B60/Model!L12)</f>
        <v>0.457748223577</v>
      </c>
      <c r="F60" s="22">
        <f>Model!D18+(Model!D17-Model!D18)*Discharge!E60</f>
        <v>23.5563439602</v>
      </c>
      <c r="G60" s="22">
        <f>Discharge!F60-Discharge!C60*Model!D16</f>
        <v>22.4763439602</v>
      </c>
      <c r="H60" s="24">
        <f>Discharge!G60-Discharge!G59</f>
        <v>-0.0354549238431</v>
      </c>
      <c r="I60" s="22">
        <f>Model!L13-Model!D20*Discharge!B60</f>
        <v>21.72</v>
      </c>
      <c r="J60" s="8" t="str">
        <f>IF(Discharge!B60&gt;Model!L12,"EMPTY",IF(Discharge!G60&lt;=Model!D19,"LIMP","NOMINAL"))</f>
        <v>NOMINAL</v>
      </c>
    </row>
    <row r="61" spans="2:10" x14ac:dyDescent="0.25">
      <c r="B61" s="12">
        <v>53</v>
      </c>
      <c r="C61" s="22">
        <f>Model!D15</f>
        <v>9</v>
      </c>
      <c r="D61" s="22">
        <f>Discharge!C61*Discharge!B61/60</f>
        <v>7.95</v>
      </c>
      <c r="E61" s="23">
        <f>MAX(0,1-Discharge!B61/Model!L12)</f>
        <v>0.447320304799</v>
      </c>
      <c r="F61" s="22">
        <f>Model!D18+(Model!D17-Model!D18)*Discharge!E61</f>
        <v>23.5208890363</v>
      </c>
      <c r="G61" s="22">
        <f>Discharge!F61-Discharge!C61*Model!D16</f>
        <v>22.4408890363</v>
      </c>
      <c r="H61" s="24">
        <f>Discharge!G61-Discharge!G60</f>
        <v>-0.0354549238431</v>
      </c>
      <c r="I61" s="22">
        <f>Model!L13-Model!D20*Discharge!B61</f>
        <v>21.67</v>
      </c>
      <c r="J61" s="8" t="str">
        <f>IF(Discharge!B61&gt;Model!L12,"EMPTY",IF(Discharge!G61&lt;=Model!D19,"LIMP","NOMINAL"))</f>
        <v>NOMINAL</v>
      </c>
    </row>
    <row r="62" spans="2:10" x14ac:dyDescent="0.25">
      <c r="B62" s="12">
        <v>54</v>
      </c>
      <c r="C62" s="22">
        <f>Model!D15</f>
        <v>9</v>
      </c>
      <c r="D62" s="22">
        <f>Discharge!C62*Discharge!B62/60</f>
        <v>8.1</v>
      </c>
      <c r="E62" s="23">
        <f>MAX(0,1-Discharge!B62/Model!L12)</f>
        <v>0.436892386022</v>
      </c>
      <c r="F62" s="22">
        <f>Model!D18+(Model!D17-Model!D18)*Discharge!E62</f>
        <v>23.4854341125</v>
      </c>
      <c r="G62" s="22">
        <f>Discharge!F62-Discharge!C62*Model!D16</f>
        <v>22.4054341125</v>
      </c>
      <c r="H62" s="24">
        <f>Discharge!G62-Discharge!G61</f>
        <v>-0.0354549238431</v>
      </c>
      <c r="I62" s="22">
        <f>Model!L13-Model!D20*Discharge!B62</f>
        <v>21.62</v>
      </c>
      <c r="J62" s="8" t="str">
        <f>IF(Discharge!B62&gt;Model!L12,"EMPTY",IF(Discharge!G62&lt;=Model!D19,"LIMP","NOMINAL"))</f>
        <v>NOMINAL</v>
      </c>
    </row>
    <row r="63" spans="2:10" x14ac:dyDescent="0.25">
      <c r="B63" s="12">
        <v>55</v>
      </c>
      <c r="C63" s="22">
        <f>Model!D15</f>
        <v>9</v>
      </c>
      <c r="D63" s="22">
        <f>Discharge!C63*Discharge!B63/60</f>
        <v>8.25</v>
      </c>
      <c r="E63" s="23">
        <f>MAX(0,1-Discharge!B63/Model!L12)</f>
        <v>0.426464467245</v>
      </c>
      <c r="F63" s="22">
        <f>Model!D18+(Model!D17-Model!D18)*Discharge!E63</f>
        <v>23.4499791886</v>
      </c>
      <c r="G63" s="22">
        <f>Discharge!F63-Discharge!C63*Model!D16</f>
        <v>22.3699791886</v>
      </c>
      <c r="H63" s="24">
        <f>Discharge!G63-Discharge!G62</f>
        <v>-0.0354549238431</v>
      </c>
      <c r="I63" s="22">
        <f>Model!L13-Model!D20*Discharge!B63</f>
        <v>21.57</v>
      </c>
      <c r="J63" s="8" t="str">
        <f>IF(Discharge!B63&gt;Model!L12,"EMPTY",IF(Discharge!G63&lt;=Model!D19,"LIMP","NOMINAL"))</f>
        <v>NOMINAL</v>
      </c>
    </row>
    <row r="64" spans="2:10" x14ac:dyDescent="0.25">
      <c r="B64" s="12">
        <v>56</v>
      </c>
      <c r="C64" s="22">
        <f>Model!D15</f>
        <v>9</v>
      </c>
      <c r="D64" s="22">
        <f>Discharge!C64*Discharge!B64/60</f>
        <v>8.4</v>
      </c>
      <c r="E64" s="23">
        <f>MAX(0,1-Discharge!B64/Model!L12)</f>
        <v>0.416036548467</v>
      </c>
      <c r="F64" s="22">
        <f>Model!D18+(Model!D17-Model!D18)*Discharge!E64</f>
        <v>23.4145242648</v>
      </c>
      <c r="G64" s="22">
        <f>Discharge!F64-Discharge!C64*Model!D16</f>
        <v>22.3345242648</v>
      </c>
      <c r="H64" s="24">
        <f>Discharge!G64-Discharge!G63</f>
        <v>-0.0354549238431</v>
      </c>
      <c r="I64" s="22">
        <f>Model!L13-Model!D20*Discharge!B64</f>
        <v>21.52</v>
      </c>
      <c r="J64" s="8" t="str">
        <f>IF(Discharge!B64&gt;Model!L12,"EMPTY",IF(Discharge!G64&lt;=Model!D19,"LIMP","NOMINAL"))</f>
        <v>NOMINAL</v>
      </c>
    </row>
    <row r="65" spans="2:10" x14ac:dyDescent="0.25">
      <c r="B65" s="12">
        <v>57</v>
      </c>
      <c r="C65" s="22">
        <f>Model!D15</f>
        <v>9</v>
      </c>
      <c r="D65" s="22">
        <f>Discharge!C65*Discharge!B65/60</f>
        <v>8.55</v>
      </c>
      <c r="E65" s="23">
        <f>MAX(0,1-Discharge!B65/Model!L12)</f>
        <v>0.40560862969</v>
      </c>
      <c r="F65" s="22">
        <f>Model!D18+(Model!D17-Model!D18)*Discharge!E65</f>
        <v>23.3790693409</v>
      </c>
      <c r="G65" s="22">
        <f>Discharge!F65-Discharge!C65*Model!D16</f>
        <v>22.2990693409</v>
      </c>
      <c r="H65" s="24">
        <f>Discharge!G65-Discharge!G64</f>
        <v>-0.0354549238431</v>
      </c>
      <c r="I65" s="22">
        <f>Model!L13-Model!D20*Discharge!B65</f>
        <v>21.47</v>
      </c>
      <c r="J65" s="8" t="str">
        <f>IF(Discharge!B65&gt;Model!L12,"EMPTY",IF(Discharge!G65&lt;=Model!D19,"LIMP","NOMINAL"))</f>
        <v>NOMINAL</v>
      </c>
    </row>
    <row r="66" spans="2:10" x14ac:dyDescent="0.25">
      <c r="B66" s="12">
        <v>58</v>
      </c>
      <c r="C66" s="22">
        <f>Model!D15</f>
        <v>9</v>
      </c>
      <c r="D66" s="22">
        <f>Discharge!C66*Discharge!B66/60</f>
        <v>8.7</v>
      </c>
      <c r="E66" s="23">
        <f>MAX(0,1-Discharge!B66/Model!L12)</f>
        <v>0.395180710913</v>
      </c>
      <c r="F66" s="22">
        <f>Model!D18+(Model!D17-Model!D18)*Discharge!E66</f>
        <v>23.3436144171</v>
      </c>
      <c r="G66" s="22">
        <f>Discharge!F66-Discharge!C66*Model!D16</f>
        <v>22.2636144171</v>
      </c>
      <c r="H66" s="24">
        <f>Discharge!G66-Discharge!G65</f>
        <v>-0.0354549238431</v>
      </c>
      <c r="I66" s="22">
        <f>Model!L13-Model!D20*Discharge!B66</f>
        <v>21.42</v>
      </c>
      <c r="J66" s="8" t="str">
        <f>IF(Discharge!B66&gt;Model!L12,"EMPTY",IF(Discharge!G66&lt;=Model!D19,"LIMP","NOMINAL"))</f>
        <v>NOMINAL</v>
      </c>
    </row>
    <row r="67" spans="2:10" x14ac:dyDescent="0.25">
      <c r="B67" s="12">
        <v>59</v>
      </c>
      <c r="C67" s="22">
        <f>Model!D15</f>
        <v>9</v>
      </c>
      <c r="D67" s="22">
        <f>Discharge!C67*Discharge!B67/60</f>
        <v>8.85</v>
      </c>
      <c r="E67" s="23">
        <f>MAX(0,1-Discharge!B67/Model!L12)</f>
        <v>0.384752792135</v>
      </c>
      <c r="F67" s="22">
        <f>Model!D18+(Model!D17-Model!D18)*Discharge!E67</f>
        <v>23.3081594933</v>
      </c>
      <c r="G67" s="22">
        <f>Discharge!F67-Discharge!C67*Model!D16</f>
        <v>22.2281594933</v>
      </c>
      <c r="H67" s="24">
        <f>Discharge!G67-Discharge!G66</f>
        <v>-0.0354549238431</v>
      </c>
      <c r="I67" s="22">
        <f>Model!L13-Model!D20*Discharge!B67</f>
        <v>21.37</v>
      </c>
      <c r="J67" s="8" t="str">
        <f>IF(Discharge!B67&gt;Model!L12,"EMPTY",IF(Discharge!G67&lt;=Model!D19,"LIMP","NOMINAL"))</f>
        <v>NOMINAL</v>
      </c>
    </row>
    <row r="68" spans="2:10" x14ac:dyDescent="0.25">
      <c r="B68" s="12">
        <v>60</v>
      </c>
      <c r="C68" s="22">
        <f>Model!D15</f>
        <v>9</v>
      </c>
      <c r="D68" s="22">
        <f>Discharge!C68*Discharge!B68/60</f>
        <v>9</v>
      </c>
      <c r="E68" s="23">
        <f>MAX(0,1-Discharge!B68/Model!L12)</f>
        <v>0.374324873358</v>
      </c>
      <c r="F68" s="22">
        <f>Model!D18+(Model!D17-Model!D18)*Discharge!E68</f>
        <v>23.2727045694</v>
      </c>
      <c r="G68" s="22">
        <f>Discharge!F68-Discharge!C68*Model!D16</f>
        <v>22.1927045694</v>
      </c>
      <c r="H68" s="24">
        <f>Discharge!G68-Discharge!G67</f>
        <v>-0.0354549238431</v>
      </c>
      <c r="I68" s="22">
        <f>Model!L13-Model!D20*Discharge!B68</f>
        <v>21.32</v>
      </c>
      <c r="J68" s="8" t="str">
        <f>IF(Discharge!B68&gt;Model!L12,"EMPTY",IF(Discharge!G68&lt;=Model!D19,"LIMP","NOMINAL"))</f>
        <v>NOMINAL</v>
      </c>
    </row>
    <row r="69" spans="2:10" x14ac:dyDescent="0.25">
      <c r="B69" s="12">
        <v>61</v>
      </c>
      <c r="C69" s="22">
        <f>Model!D15</f>
        <v>9</v>
      </c>
      <c r="D69" s="22">
        <f>Discharge!C69*Discharge!B69/60</f>
        <v>9.15</v>
      </c>
      <c r="E69" s="23">
        <f>MAX(0,1-Discharge!B69/Model!L12)</f>
        <v>0.36389695458</v>
      </c>
      <c r="F69" s="22">
        <f>Model!D18+(Model!D17-Model!D18)*Discharge!E69</f>
        <v>23.2372496456</v>
      </c>
      <c r="G69" s="22">
        <f>Discharge!F69-Discharge!C69*Model!D16</f>
        <v>22.1572496456</v>
      </c>
      <c r="H69" s="24">
        <f>Discharge!G69-Discharge!G68</f>
        <v>-0.0354549238431</v>
      </c>
      <c r="I69" s="22">
        <f>Model!L13-Model!D20*Discharge!B69</f>
        <v>21.27</v>
      </c>
      <c r="J69" s="8" t="str">
        <f>IF(Discharge!B69&gt;Model!L12,"EMPTY",IF(Discharge!G69&lt;=Model!D19,"LIMP","NOMINAL"))</f>
        <v>NOMINAL</v>
      </c>
    </row>
    <row r="70" spans="2:10" x14ac:dyDescent="0.25">
      <c r="B70" s="12">
        <v>62</v>
      </c>
      <c r="C70" s="22">
        <f>Model!D15</f>
        <v>9</v>
      </c>
      <c r="D70" s="22">
        <f>Discharge!C70*Discharge!B70/60</f>
        <v>9.3</v>
      </c>
      <c r="E70" s="23">
        <f>MAX(0,1-Discharge!B70/Model!L12)</f>
        <v>0.353469035803</v>
      </c>
      <c r="F70" s="22">
        <f>Model!D18+(Model!D17-Model!D18)*Discharge!E70</f>
        <v>23.2017947217</v>
      </c>
      <c r="G70" s="22">
        <f>Discharge!F70-Discharge!C70*Model!D16</f>
        <v>22.1217947217</v>
      </c>
      <c r="H70" s="24">
        <f>Discharge!G70-Discharge!G69</f>
        <v>-0.0354549238431</v>
      </c>
      <c r="I70" s="22">
        <f>Model!L13-Model!D20*Discharge!B70</f>
        <v>21.22</v>
      </c>
      <c r="J70" s="8" t="str">
        <f>IF(Discharge!B70&gt;Model!L12,"EMPTY",IF(Discharge!G70&lt;=Model!D19,"LIMP","NOMINAL"))</f>
        <v>NOMINAL</v>
      </c>
    </row>
    <row r="71" spans="2:10" x14ac:dyDescent="0.25">
      <c r="B71" s="12">
        <v>63</v>
      </c>
      <c r="C71" s="22">
        <f>Model!D15</f>
        <v>9</v>
      </c>
      <c r="D71" s="22">
        <f>Discharge!C71*Discharge!B71/60</f>
        <v>9.45</v>
      </c>
      <c r="E71" s="23">
        <f>MAX(0,1-Discharge!B71/Model!L12)</f>
        <v>0.343041117026</v>
      </c>
      <c r="F71" s="22">
        <f>Model!D18+(Model!D17-Model!D18)*Discharge!E71</f>
        <v>23.1663397979</v>
      </c>
      <c r="G71" s="22">
        <f>Discharge!F71-Discharge!C71*Model!D16</f>
        <v>22.0863397979</v>
      </c>
      <c r="H71" s="24">
        <f>Discharge!G71-Discharge!G70</f>
        <v>-0.0354549238431</v>
      </c>
      <c r="I71" s="22">
        <f>Model!L13-Model!D20*Discharge!B71</f>
        <v>21.17</v>
      </c>
      <c r="J71" s="8" t="str">
        <f>IF(Discharge!B71&gt;Model!L12,"EMPTY",IF(Discharge!G71&lt;=Model!D19,"LIMP","NOMINAL"))</f>
        <v>NOMINAL</v>
      </c>
    </row>
    <row r="72" spans="2:10" x14ac:dyDescent="0.25">
      <c r="B72" s="12">
        <v>64</v>
      </c>
      <c r="C72" s="22">
        <f>Model!D15</f>
        <v>9</v>
      </c>
      <c r="D72" s="22">
        <f>Discharge!C72*Discharge!B72/60</f>
        <v>9.6</v>
      </c>
      <c r="E72" s="23">
        <f>MAX(0,1-Discharge!B72/Model!L12)</f>
        <v>0.332613198248</v>
      </c>
      <c r="F72" s="22">
        <f>Model!D18+(Model!D17-Model!D18)*Discharge!E72</f>
        <v>23.130884874</v>
      </c>
      <c r="G72" s="22">
        <f>Discharge!F72-Discharge!C72*Model!D16</f>
        <v>22.050884874</v>
      </c>
      <c r="H72" s="24">
        <f>Discharge!G72-Discharge!G71</f>
        <v>-0.0354549238431</v>
      </c>
      <c r="I72" s="22">
        <f>Model!L13-Model!D20*Discharge!B72</f>
        <v>21.12</v>
      </c>
      <c r="J72" s="8" t="str">
        <f>IF(Discharge!B72&gt;Model!L12,"EMPTY",IF(Discharge!G72&lt;=Model!D19,"LIMP","NOMINAL"))</f>
        <v>NOMINAL</v>
      </c>
    </row>
    <row r="73" spans="2:10" x14ac:dyDescent="0.25">
      <c r="B73" s="12">
        <v>65</v>
      </c>
      <c r="C73" s="22">
        <f>Model!D15</f>
        <v>9</v>
      </c>
      <c r="D73" s="22">
        <f>Discharge!C73*Discharge!B73/60</f>
        <v>9.75</v>
      </c>
      <c r="E73" s="23">
        <f>MAX(0,1-Discharge!B73/Model!L12)</f>
        <v>0.322185279471</v>
      </c>
      <c r="F73" s="22">
        <f>Model!D18+(Model!D17-Model!D18)*Discharge!E73</f>
        <v>23.0954299502</v>
      </c>
      <c r="G73" s="22">
        <f>Discharge!F73-Discharge!C73*Model!D16</f>
        <v>22.0154299502</v>
      </c>
      <c r="H73" s="24">
        <f>Discharge!G73-Discharge!G72</f>
        <v>-0.0354549238431</v>
      </c>
      <c r="I73" s="22">
        <f>Model!L13-Model!D20*Discharge!B73</f>
        <v>21.07</v>
      </c>
      <c r="J73" s="8" t="str">
        <f>IF(Discharge!B73&gt;Model!L12,"EMPTY",IF(Discharge!G73&lt;=Model!D19,"LIMP","NOMINAL"))</f>
        <v>NOMINAL</v>
      </c>
    </row>
    <row r="74" spans="2:10" x14ac:dyDescent="0.25">
      <c r="B74" s="12">
        <v>66</v>
      </c>
      <c r="C74" s="22">
        <f>Model!D15</f>
        <v>9</v>
      </c>
      <c r="D74" s="22">
        <f>Discharge!C74*Discharge!B74/60</f>
        <v>9.9</v>
      </c>
      <c r="E74" s="23">
        <f>MAX(0,1-Discharge!B74/Model!L12)</f>
        <v>0.311757360694</v>
      </c>
      <c r="F74" s="22">
        <f>Model!D18+(Model!D17-Model!D18)*Discharge!E74</f>
        <v>23.0599750264</v>
      </c>
      <c r="G74" s="22">
        <f>Discharge!F74-Discharge!C74*Model!D16</f>
        <v>21.9799750264</v>
      </c>
      <c r="H74" s="24">
        <f>Discharge!G74-Discharge!G73</f>
        <v>-0.0354549238431</v>
      </c>
      <c r="I74" s="22">
        <f>Model!L13-Model!D20*Discharge!B74</f>
        <v>21.02</v>
      </c>
      <c r="J74" s="8" t="str">
        <f>IF(Discharge!B74&gt;Model!L12,"EMPTY",IF(Discharge!G74&lt;=Model!D19,"LIMP","NOMINAL"))</f>
        <v>NOMINAL</v>
      </c>
    </row>
    <row r="75" spans="2:10" x14ac:dyDescent="0.25">
      <c r="B75" s="12">
        <v>67</v>
      </c>
      <c r="C75" s="22">
        <f>Model!D15</f>
        <v>9</v>
      </c>
      <c r="D75" s="22">
        <f>Discharge!C75*Discharge!B75/60</f>
        <v>10.05</v>
      </c>
      <c r="E75" s="23">
        <f>MAX(0,1-Discharge!B75/Model!L12)</f>
        <v>0.301329441916</v>
      </c>
      <c r="F75" s="22">
        <f>Model!D18+(Model!D17-Model!D18)*Discharge!E75</f>
        <v>23.0245201025</v>
      </c>
      <c r="G75" s="22">
        <f>Discharge!F75-Discharge!C75*Model!D16</f>
        <v>21.9445201025</v>
      </c>
      <c r="H75" s="24">
        <f>Discharge!G75-Discharge!G74</f>
        <v>-0.0354549238431</v>
      </c>
      <c r="I75" s="22">
        <f>Model!L13-Model!D20*Discharge!B75</f>
        <v>20.97</v>
      </c>
      <c r="J75" s="8" t="str">
        <f>IF(Discharge!B75&gt;Model!L12,"EMPTY",IF(Discharge!G75&lt;=Model!D19,"LIMP","NOMINAL"))</f>
        <v>NOMINAL</v>
      </c>
    </row>
    <row r="76" spans="2:10" x14ac:dyDescent="0.25">
      <c r="B76" s="12">
        <v>68</v>
      </c>
      <c r="C76" s="22">
        <f>Model!D15</f>
        <v>9</v>
      </c>
      <c r="D76" s="22">
        <f>Discharge!C76*Discharge!B76/60</f>
        <v>10.2</v>
      </c>
      <c r="E76" s="23">
        <f>MAX(0,1-Discharge!B76/Model!L12)</f>
        <v>0.290901523139</v>
      </c>
      <c r="F76" s="22">
        <f>Model!D18+(Model!D17-Model!D18)*Discharge!E76</f>
        <v>22.9890651787</v>
      </c>
      <c r="G76" s="22">
        <f>Discharge!F76-Discharge!C76*Model!D16</f>
        <v>21.9090651787</v>
      </c>
      <c r="H76" s="24">
        <f>Discharge!G76-Discharge!G75</f>
        <v>-0.0354549238431</v>
      </c>
      <c r="I76" s="22">
        <f>Model!L13-Model!D20*Discharge!B76</f>
        <v>20.92</v>
      </c>
      <c r="J76" s="8" t="str">
        <f>IF(Discharge!B76&gt;Model!L12,"EMPTY",IF(Discharge!G76&lt;=Model!D19,"LIMP","NOMINAL"))</f>
        <v>NOMINAL</v>
      </c>
    </row>
    <row r="77" spans="2:10" x14ac:dyDescent="0.25">
      <c r="B77" s="12">
        <v>69</v>
      </c>
      <c r="C77" s="22">
        <f>Model!D15</f>
        <v>9</v>
      </c>
      <c r="D77" s="22">
        <f>Discharge!C77*Discharge!B77/60</f>
        <v>10.35</v>
      </c>
      <c r="E77" s="23">
        <f>MAX(0,1-Discharge!B77/Model!L12)</f>
        <v>0.280473604362</v>
      </c>
      <c r="F77" s="22">
        <f>Model!D18+(Model!D17-Model!D18)*Discharge!E77</f>
        <v>22.9536102548</v>
      </c>
      <c r="G77" s="22">
        <f>Discharge!F77-Discharge!C77*Model!D16</f>
        <v>21.8736102548</v>
      </c>
      <c r="H77" s="24">
        <f>Discharge!G77-Discharge!G76</f>
        <v>-0.035454923843</v>
      </c>
      <c r="I77" s="22">
        <f>Model!L13-Model!D20*Discharge!B77</f>
        <v>20.87</v>
      </c>
      <c r="J77" s="8" t="str">
        <f>IF(Discharge!B77&gt;Model!L12,"EMPTY",IF(Discharge!G77&lt;=Model!D19,"LIMP","NOMINAL"))</f>
        <v>NOMINAL</v>
      </c>
    </row>
    <row r="78" spans="2:10" x14ac:dyDescent="0.25">
      <c r="B78" s="12">
        <v>70</v>
      </c>
      <c r="C78" s="22">
        <f>Model!D15</f>
        <v>9</v>
      </c>
      <c r="D78" s="22">
        <f>Discharge!C78*Discharge!B78/60</f>
        <v>10.5</v>
      </c>
      <c r="E78" s="23">
        <f>MAX(0,1-Discharge!B78/Model!L12)</f>
        <v>0.270045685584</v>
      </c>
      <c r="F78" s="22">
        <f>Model!D18+(Model!D17-Model!D18)*Discharge!E78</f>
        <v>22.918155331</v>
      </c>
      <c r="G78" s="22">
        <f>Discharge!F78-Discharge!C78*Model!D16</f>
        <v>21.838155331</v>
      </c>
      <c r="H78" s="24">
        <f>Discharge!G78-Discharge!G77</f>
        <v>-0.0354549238431</v>
      </c>
      <c r="I78" s="22">
        <f>Model!L13-Model!D20*Discharge!B78</f>
        <v>20.82</v>
      </c>
      <c r="J78" s="8" t="str">
        <f>IF(Discharge!B78&gt;Model!L12,"EMPTY",IF(Discharge!G78&lt;=Model!D19,"LIMP","NOMINAL"))</f>
        <v>NOMINAL</v>
      </c>
    </row>
    <row r="79" spans="2:10" x14ac:dyDescent="0.25">
      <c r="B79" s="12">
        <v>71</v>
      </c>
      <c r="C79" s="22">
        <f>Model!D15</f>
        <v>9</v>
      </c>
      <c r="D79" s="22">
        <f>Discharge!C79*Discharge!B79/60</f>
        <v>10.65</v>
      </c>
      <c r="E79" s="23">
        <f>MAX(0,1-Discharge!B79/Model!L12)</f>
        <v>0.259617766807</v>
      </c>
      <c r="F79" s="22">
        <f>Model!D18+(Model!D17-Model!D18)*Discharge!E79</f>
        <v>22.8827004071</v>
      </c>
      <c r="G79" s="22">
        <f>Discharge!F79-Discharge!C79*Model!D16</f>
        <v>21.8027004071</v>
      </c>
      <c r="H79" s="24">
        <f>Discharge!G79-Discharge!G78</f>
        <v>-0.0354549238431</v>
      </c>
      <c r="I79" s="22">
        <f>Model!L13-Model!D20*Discharge!B79</f>
        <v>20.77</v>
      </c>
      <c r="J79" s="8" t="str">
        <f>IF(Discharge!B79&gt;Model!L12,"EMPTY",IF(Discharge!G79&lt;=Model!D19,"LIMP","NOMINAL"))</f>
        <v>NOMINAL</v>
      </c>
    </row>
    <row r="80" spans="2:10" x14ac:dyDescent="0.25">
      <c r="B80" s="12">
        <v>72</v>
      </c>
      <c r="C80" s="22">
        <f>Model!D15</f>
        <v>9</v>
      </c>
      <c r="D80" s="22">
        <f>Discharge!C80*Discharge!B80/60</f>
        <v>10.8</v>
      </c>
      <c r="E80" s="23">
        <f>MAX(0,1-Discharge!B80/Model!L12)</f>
        <v>0.249189848029</v>
      </c>
      <c r="F80" s="22">
        <f>Model!D18+(Model!D17-Model!D18)*Discharge!E80</f>
        <v>22.8472454833</v>
      </c>
      <c r="G80" s="22">
        <f>Discharge!F80-Discharge!C80*Model!D16</f>
        <v>21.7672454833</v>
      </c>
      <c r="H80" s="24">
        <f>Discharge!G80-Discharge!G79</f>
        <v>-0.0354549238431</v>
      </c>
      <c r="I80" s="22">
        <f>Model!L13-Model!D20*Discharge!B80</f>
        <v>20.72</v>
      </c>
      <c r="J80" s="8" t="str">
        <f>IF(Discharge!B80&gt;Model!L12,"EMPTY",IF(Discharge!G80&lt;=Model!D19,"LIMP","NOMINAL"))</f>
        <v>NOMINAL</v>
      </c>
    </row>
    <row r="81" spans="2:10" x14ac:dyDescent="0.25">
      <c r="B81" s="12">
        <v>73</v>
      </c>
      <c r="C81" s="22">
        <f>Model!D15</f>
        <v>9</v>
      </c>
      <c r="D81" s="22">
        <f>Discharge!C81*Discharge!B81/60</f>
        <v>10.95</v>
      </c>
      <c r="E81" s="23">
        <f>MAX(0,1-Discharge!B81/Model!L12)</f>
        <v>0.238761929252</v>
      </c>
      <c r="F81" s="22">
        <f>Model!D18+(Model!D17-Model!D18)*Discharge!E81</f>
        <v>22.8117905595</v>
      </c>
      <c r="G81" s="22">
        <f>Discharge!F81-Discharge!C81*Model!D16</f>
        <v>21.7317905595</v>
      </c>
      <c r="H81" s="24">
        <f>Discharge!G81-Discharge!G80</f>
        <v>-0.0354549238431</v>
      </c>
      <c r="I81" s="22">
        <f>Model!L13-Model!D20*Discharge!B81</f>
        <v>20.67</v>
      </c>
      <c r="J81" s="8" t="str">
        <f>IF(Discharge!B81&gt;Model!L12,"EMPTY",IF(Discharge!G81&lt;=Model!D19,"LIMP","NOMINAL"))</f>
        <v>NOMINAL</v>
      </c>
    </row>
    <row r="82" spans="2:10" x14ac:dyDescent="0.25">
      <c r="B82" s="12">
        <v>74</v>
      </c>
      <c r="C82" s="22">
        <f>Model!D15</f>
        <v>9</v>
      </c>
      <c r="D82" s="22">
        <f>Discharge!C82*Discharge!B82/60</f>
        <v>11.1</v>
      </c>
      <c r="E82" s="23">
        <f>MAX(0,1-Discharge!B82/Model!L12)</f>
        <v>0.228334010475</v>
      </c>
      <c r="F82" s="22">
        <f>Model!D18+(Model!D17-Model!D18)*Discharge!E82</f>
        <v>22.7763356356</v>
      </c>
      <c r="G82" s="22">
        <f>Discharge!F82-Discharge!C82*Model!D16</f>
        <v>21.6963356356</v>
      </c>
      <c r="H82" s="24">
        <f>Discharge!G82-Discharge!G81</f>
        <v>-0.0354549238431</v>
      </c>
      <c r="I82" s="22">
        <f>Model!L13-Model!D20*Discharge!B82</f>
        <v>20.62</v>
      </c>
      <c r="J82" s="8" t="str">
        <f>IF(Discharge!B82&gt;Model!L12,"EMPTY",IF(Discharge!G82&lt;=Model!D19,"LIMP","NOMINAL"))</f>
        <v>NOMINAL</v>
      </c>
    </row>
    <row r="83" spans="2:10" x14ac:dyDescent="0.25">
      <c r="B83" s="12">
        <v>75</v>
      </c>
      <c r="C83" s="22">
        <f>Model!D15</f>
        <v>9</v>
      </c>
      <c r="D83" s="22">
        <f>Discharge!C83*Discharge!B83/60</f>
        <v>11.25</v>
      </c>
      <c r="E83" s="23">
        <f>MAX(0,1-Discharge!B83/Model!L12)</f>
        <v>0.217906091697</v>
      </c>
      <c r="F83" s="22">
        <f>Model!D18+(Model!D17-Model!D18)*Discharge!E83</f>
        <v>22.7408807118</v>
      </c>
      <c r="G83" s="22">
        <f>Discharge!F83-Discharge!C83*Model!D16</f>
        <v>21.6608807118</v>
      </c>
      <c r="H83" s="24">
        <f>Discharge!G83-Discharge!G82</f>
        <v>-0.0354549238431</v>
      </c>
      <c r="I83" s="22">
        <f>Model!L13-Model!D20*Discharge!B83</f>
        <v>20.57</v>
      </c>
      <c r="J83" s="8" t="str">
        <f>IF(Discharge!B83&gt;Model!L12,"EMPTY",IF(Discharge!G83&lt;=Model!D19,"LIMP","NOMINAL"))</f>
        <v>NOMINAL</v>
      </c>
    </row>
    <row r="84" spans="2:10" x14ac:dyDescent="0.25">
      <c r="B84" s="12">
        <v>76</v>
      </c>
      <c r="C84" s="22">
        <f>Model!D15</f>
        <v>9</v>
      </c>
      <c r="D84" s="22">
        <f>Discharge!C84*Discharge!B84/60</f>
        <v>11.4</v>
      </c>
      <c r="E84" s="23">
        <f>MAX(0,1-Discharge!B84/Model!L12)</f>
        <v>0.20747817292</v>
      </c>
      <c r="F84" s="22">
        <f>Model!D18+(Model!D17-Model!D18)*Discharge!E84</f>
        <v>22.7054257879</v>
      </c>
      <c r="G84" s="22">
        <f>Discharge!F84-Discharge!C84*Model!D16</f>
        <v>21.6254257879</v>
      </c>
      <c r="H84" s="24">
        <f>Discharge!G84-Discharge!G83</f>
        <v>-0.0354549238431</v>
      </c>
      <c r="I84" s="22">
        <f>Model!L13-Model!D20*Discharge!B84</f>
        <v>20.52</v>
      </c>
      <c r="J84" s="8" t="str">
        <f>IF(Discharge!B84&gt;Model!L12,"EMPTY",IF(Discharge!G84&lt;=Model!D19,"LIMP","NOMINAL"))</f>
        <v>NOMINAL</v>
      </c>
    </row>
    <row r="85" spans="2:10" x14ac:dyDescent="0.25">
      <c r="B85" s="12">
        <v>77</v>
      </c>
      <c r="C85" s="22">
        <f>Model!D15</f>
        <v>9</v>
      </c>
      <c r="D85" s="22">
        <f>Discharge!C85*Discharge!B85/60</f>
        <v>11.55</v>
      </c>
      <c r="E85" s="23">
        <f>MAX(0,1-Discharge!B85/Model!L12)</f>
        <v>0.197050254143</v>
      </c>
      <c r="F85" s="22">
        <f>Model!D18+(Model!D17-Model!D18)*Discharge!E85</f>
        <v>22.6699708641</v>
      </c>
      <c r="G85" s="22">
        <f>Discharge!F85-Discharge!C85*Model!D16</f>
        <v>21.5899708641</v>
      </c>
      <c r="H85" s="24">
        <f>Discharge!G85-Discharge!G84</f>
        <v>-0.0354549238431</v>
      </c>
      <c r="I85" s="22">
        <f>Model!L13-Model!D20*Discharge!B85</f>
        <v>20.47</v>
      </c>
      <c r="J85" s="8" t="str">
        <f>IF(Discharge!B85&gt;Model!L12,"EMPTY",IF(Discharge!G85&lt;=Model!D19,"LIMP","NOMINAL"))</f>
        <v>NOMINAL</v>
      </c>
    </row>
    <row r="86" spans="2:10" x14ac:dyDescent="0.25">
      <c r="B86" s="12">
        <v>78</v>
      </c>
      <c r="C86" s="22">
        <f>Model!D15</f>
        <v>9</v>
      </c>
      <c r="D86" s="22">
        <f>Discharge!C86*Discharge!B86/60</f>
        <v>11.7</v>
      </c>
      <c r="E86" s="23">
        <f>MAX(0,1-Discharge!B86/Model!L12)</f>
        <v>0.186622335365</v>
      </c>
      <c r="F86" s="22">
        <f>Model!D18+(Model!D17-Model!D18)*Discharge!E86</f>
        <v>22.6345159402</v>
      </c>
      <c r="G86" s="22">
        <f>Discharge!F86-Discharge!C86*Model!D16</f>
        <v>21.5545159402</v>
      </c>
      <c r="H86" s="24">
        <f>Discharge!G86-Discharge!G85</f>
        <v>-0.0354549238431</v>
      </c>
      <c r="I86" s="22">
        <f>Model!L13-Model!D20*Discharge!B86</f>
        <v>20.42</v>
      </c>
      <c r="J86" s="8" t="str">
        <f>IF(Discharge!B86&gt;Model!L12,"EMPTY",IF(Discharge!G86&lt;=Model!D19,"LIMP","NOMINAL"))</f>
        <v>NOMINAL</v>
      </c>
    </row>
    <row r="87" spans="2:10" x14ac:dyDescent="0.25">
      <c r="B87" s="12">
        <v>79</v>
      </c>
      <c r="C87" s="22">
        <f>Model!D15</f>
        <v>9</v>
      </c>
      <c r="D87" s="22">
        <f>Discharge!C87*Discharge!B87/60</f>
        <v>11.85</v>
      </c>
      <c r="E87" s="23">
        <f>MAX(0,1-Discharge!B87/Model!L12)</f>
        <v>0.176194416588</v>
      </c>
      <c r="F87" s="22">
        <f>Model!D18+(Model!D17-Model!D18)*Discharge!E87</f>
        <v>22.5990610164</v>
      </c>
      <c r="G87" s="22">
        <f>Discharge!F87-Discharge!C87*Model!D16</f>
        <v>21.5190610164</v>
      </c>
      <c r="H87" s="24">
        <f>Discharge!G87-Discharge!G86</f>
        <v>-0.0354549238431</v>
      </c>
      <c r="I87" s="22">
        <f>Model!L13-Model!D20*Discharge!B87</f>
        <v>20.37</v>
      </c>
      <c r="J87" s="8" t="str">
        <f>IF(Discharge!B87&gt;Model!L12,"EMPTY",IF(Discharge!G87&lt;=Model!D19,"LIMP","NOMINAL"))</f>
        <v>NOMINAL</v>
      </c>
    </row>
    <row r="88" spans="2:10" x14ac:dyDescent="0.25">
      <c r="B88" s="12">
        <v>80</v>
      </c>
      <c r="C88" s="22">
        <f>Model!D15</f>
        <v>9</v>
      </c>
      <c r="D88" s="22">
        <f>Discharge!C88*Discharge!B88/60</f>
        <v>12</v>
      </c>
      <c r="E88" s="23">
        <f>MAX(0,1-Discharge!B88/Model!L12)</f>
        <v>0.16576649781</v>
      </c>
      <c r="F88" s="22">
        <f>Model!D18+(Model!D17-Model!D18)*Discharge!E88</f>
        <v>22.5636060926</v>
      </c>
      <c r="G88" s="22">
        <f>Discharge!F88-Discharge!C88*Model!D16</f>
        <v>21.4836060926</v>
      </c>
      <c r="H88" s="24">
        <f>Discharge!G88-Discharge!G87</f>
        <v>-0.0354549238431</v>
      </c>
      <c r="I88" s="22">
        <f>Model!L13-Model!D20*Discharge!B88</f>
        <v>20.32</v>
      </c>
      <c r="J88" s="8" t="str">
        <f>IF(Discharge!B88&gt;Model!L12,"EMPTY",IF(Discharge!G88&lt;=Model!D19,"LIMP","NOMINAL"))</f>
        <v>NOMINAL</v>
      </c>
    </row>
    <row r="89" spans="2:10" x14ac:dyDescent="0.25">
      <c r="B89" s="12">
        <v>81</v>
      </c>
      <c r="C89" s="22">
        <f>Model!D15</f>
        <v>9</v>
      </c>
      <c r="D89" s="22">
        <f>Discharge!C89*Discharge!B89/60</f>
        <v>12.15</v>
      </c>
      <c r="E89" s="23">
        <f>MAX(0,1-Discharge!B89/Model!L12)</f>
        <v>0.155338579033</v>
      </c>
      <c r="F89" s="22">
        <f>Model!D18+(Model!D17-Model!D18)*Discharge!E89</f>
        <v>22.5281511687</v>
      </c>
      <c r="G89" s="22">
        <f>Discharge!F89-Discharge!C89*Model!D16</f>
        <v>21.4481511687</v>
      </c>
      <c r="H89" s="24">
        <f>Discharge!G89-Discharge!G88</f>
        <v>-0.0354549238431</v>
      </c>
      <c r="I89" s="22">
        <f>Model!L13-Model!D20*Discharge!B89</f>
        <v>20.27</v>
      </c>
      <c r="J89" s="8" t="str">
        <f>IF(Discharge!B89&gt;Model!L12,"EMPTY",IF(Discharge!G89&lt;=Model!D19,"LIMP","NOMINAL"))</f>
        <v>NOMINAL</v>
      </c>
    </row>
    <row r="90" spans="2:10" x14ac:dyDescent="0.25">
      <c r="B90" s="12">
        <v>82</v>
      </c>
      <c r="C90" s="22">
        <f>Model!D15</f>
        <v>9</v>
      </c>
      <c r="D90" s="22">
        <f>Discharge!C90*Discharge!B90/60</f>
        <v>12.3</v>
      </c>
      <c r="E90" s="23">
        <f>MAX(0,1-Discharge!B90/Model!L12)</f>
        <v>0.144910660256</v>
      </c>
      <c r="F90" s="22">
        <f>Model!D18+(Model!D17-Model!D18)*Discharge!E90</f>
        <v>22.4926962449</v>
      </c>
      <c r="G90" s="22">
        <f>Discharge!F90-Discharge!C90*Model!D16</f>
        <v>21.4126962449</v>
      </c>
      <c r="H90" s="24">
        <f>Discharge!G90-Discharge!G89</f>
        <v>-0.0354549238431</v>
      </c>
      <c r="I90" s="22">
        <f>Model!L13-Model!D20*Discharge!B90</f>
        <v>20.22</v>
      </c>
      <c r="J90" s="8" t="str">
        <f>IF(Discharge!B90&gt;Model!L12,"EMPTY",IF(Discharge!G90&lt;=Model!D19,"LIMP","NOMINAL"))</f>
        <v>NOMINAL</v>
      </c>
    </row>
    <row r="91" spans="2:10" x14ac:dyDescent="0.25">
      <c r="B91" s="12">
        <v>83</v>
      </c>
      <c r="C91" s="22">
        <f>Model!D15</f>
        <v>9</v>
      </c>
      <c r="D91" s="22">
        <f>Discharge!C91*Discharge!B91/60</f>
        <v>12.45</v>
      </c>
      <c r="E91" s="23">
        <f>MAX(0,1-Discharge!B91/Model!L12)</f>
        <v>0.134482741478</v>
      </c>
      <c r="F91" s="22">
        <f>Model!D18+(Model!D17-Model!D18)*Discharge!E91</f>
        <v>22.457241321</v>
      </c>
      <c r="G91" s="22">
        <f>Discharge!F91-Discharge!C91*Model!D16</f>
        <v>21.377241321</v>
      </c>
      <c r="H91" s="24">
        <f>Discharge!G91-Discharge!G90</f>
        <v>-0.0354549238431</v>
      </c>
      <c r="I91" s="22">
        <f>Model!L13-Model!D20*Discharge!B91</f>
        <v>20.17</v>
      </c>
      <c r="J91" s="8" t="str">
        <f>IF(Discharge!B91&gt;Model!L12,"EMPTY",IF(Discharge!G91&lt;=Model!D19,"LIMP","NOMINAL"))</f>
        <v>NOMINAL</v>
      </c>
    </row>
    <row r="92" spans="2:10" x14ac:dyDescent="0.25">
      <c r="B92" s="12">
        <v>84</v>
      </c>
      <c r="C92" s="22">
        <f>Model!D15</f>
        <v>9</v>
      </c>
      <c r="D92" s="22">
        <f>Discharge!C92*Discharge!B92/60</f>
        <v>12.6</v>
      </c>
      <c r="E92" s="23">
        <f>MAX(0,1-Discharge!B92/Model!L12)</f>
        <v>0.124054822701</v>
      </c>
      <c r="F92" s="22">
        <f>Model!D18+(Model!D17-Model!D18)*Discharge!E92</f>
        <v>22.4217863972</v>
      </c>
      <c r="G92" s="22">
        <f>Discharge!F92-Discharge!C92*Model!D16</f>
        <v>21.3417863972</v>
      </c>
      <c r="H92" s="24">
        <f>Discharge!G92-Discharge!G91</f>
        <v>-0.0354549238431</v>
      </c>
      <c r="I92" s="22">
        <f>Model!L13-Model!D20*Discharge!B92</f>
        <v>20.12</v>
      </c>
      <c r="J92" s="8" t="str">
        <f>IF(Discharge!B92&gt;Model!L12,"EMPTY",IF(Discharge!G92&lt;=Model!D19,"LIMP","NOMINAL"))</f>
        <v>NOMINAL</v>
      </c>
    </row>
    <row r="93" spans="2:10" x14ac:dyDescent="0.25">
      <c r="B93" s="12">
        <v>85</v>
      </c>
      <c r="C93" s="22">
        <f>Model!D15</f>
        <v>9</v>
      </c>
      <c r="D93" s="22">
        <f>Discharge!C93*Discharge!B93/60</f>
        <v>12.75</v>
      </c>
      <c r="E93" s="23">
        <f>MAX(0,1-Discharge!B93/Model!L12)</f>
        <v>0.113626903924</v>
      </c>
      <c r="F93" s="22">
        <f>Model!D18+(Model!D17-Model!D18)*Discharge!E93</f>
        <v>22.3863314733</v>
      </c>
      <c r="G93" s="22">
        <f>Discharge!F93-Discharge!C93*Model!D16</f>
        <v>21.3063314733</v>
      </c>
      <c r="H93" s="24">
        <f>Discharge!G93-Discharge!G92</f>
        <v>-0.0354549238431</v>
      </c>
      <c r="I93" s="22">
        <f>Model!L13-Model!D20*Discharge!B93</f>
        <v>20.07</v>
      </c>
      <c r="J93" s="8" t="str">
        <f>IF(Discharge!B93&gt;Model!L12,"EMPTY",IF(Discharge!G93&lt;=Model!D19,"LIMP","NOMINAL"))</f>
        <v>NOMINAL</v>
      </c>
    </row>
    <row r="94" spans="2:10" x14ac:dyDescent="0.25">
      <c r="B94" s="12">
        <v>86</v>
      </c>
      <c r="C94" s="22">
        <f>Model!D15</f>
        <v>9</v>
      </c>
      <c r="D94" s="22">
        <f>Discharge!C94*Discharge!B94/60</f>
        <v>12.9</v>
      </c>
      <c r="E94" s="23">
        <f>MAX(0,1-Discharge!B94/Model!L12)</f>
        <v>0.103198985146</v>
      </c>
      <c r="F94" s="22">
        <f>Model!D18+(Model!D17-Model!D18)*Discharge!E94</f>
        <v>22.3508765495</v>
      </c>
      <c r="G94" s="22">
        <f>Discharge!F94-Discharge!C94*Model!D16</f>
        <v>21.2708765495</v>
      </c>
      <c r="H94" s="24">
        <f>Discharge!G94-Discharge!G93</f>
        <v>-0.0354549238431</v>
      </c>
      <c r="I94" s="22">
        <f>Model!L13-Model!D20*Discharge!B94</f>
        <v>20.02</v>
      </c>
      <c r="J94" s="8" t="str">
        <f>IF(Discharge!B94&gt;Model!L12,"EMPTY",IF(Discharge!G94&lt;=Model!D19,"LIMP","NOMINAL"))</f>
        <v>NOMINAL</v>
      </c>
    </row>
    <row r="95" spans="2:10" x14ac:dyDescent="0.25">
      <c r="B95" s="12">
        <v>87</v>
      </c>
      <c r="C95" s="22">
        <f>Model!D15</f>
        <v>9</v>
      </c>
      <c r="D95" s="22">
        <f>Discharge!C95*Discharge!B95/60</f>
        <v>13.05</v>
      </c>
      <c r="E95" s="23">
        <f>MAX(0,1-Discharge!B95/Model!L12)</f>
        <v>0.0927710663689</v>
      </c>
      <c r="F95" s="22">
        <f>Model!D18+(Model!D17-Model!D18)*Discharge!E95</f>
        <v>22.3154216257</v>
      </c>
      <c r="G95" s="22">
        <f>Discharge!F95-Discharge!C95*Model!D16</f>
        <v>21.2354216257</v>
      </c>
      <c r="H95" s="24">
        <f>Discharge!G95-Discharge!G94</f>
        <v>-0.035454923843</v>
      </c>
      <c r="I95" s="22">
        <f>Model!L13-Model!D20*Discharge!B95</f>
        <v>19.97</v>
      </c>
      <c r="J95" s="8" t="str">
        <f>IF(Discharge!B95&gt;Model!L12,"EMPTY",IF(Discharge!G95&lt;=Model!D19,"LIMP","NOMINAL"))</f>
        <v>NOMINAL</v>
      </c>
    </row>
    <row r="96" spans="2:10" x14ac:dyDescent="0.25">
      <c r="B96" s="12">
        <v>88</v>
      </c>
      <c r="C96" s="22">
        <f>Model!D15</f>
        <v>9</v>
      </c>
      <c r="D96" s="22">
        <f>Discharge!C96*Discharge!B96/60</f>
        <v>13.2</v>
      </c>
      <c r="E96" s="23">
        <f>MAX(0,1-Discharge!B96/Model!L12)</f>
        <v>0.0823431475915</v>
      </c>
      <c r="F96" s="22">
        <f>Model!D18+(Model!D17-Model!D18)*Discharge!E96</f>
        <v>22.2799667018</v>
      </c>
      <c r="G96" s="22">
        <f>Discharge!F96-Discharge!C96*Model!D16</f>
        <v>21.1999667018</v>
      </c>
      <c r="H96" s="24">
        <f>Discharge!G96-Discharge!G95</f>
        <v>-0.0354549238431</v>
      </c>
      <c r="I96" s="22">
        <f>Model!L13-Model!D20*Discharge!B96</f>
        <v>19.92</v>
      </c>
      <c r="J96" s="8" t="str">
        <f>IF(Discharge!B96&gt;Model!L12,"EMPTY",IF(Discharge!G96&lt;=Model!D19,"LIMP","NOMINAL"))</f>
        <v>NOMINAL</v>
      </c>
    </row>
    <row r="97" spans="2:10" x14ac:dyDescent="0.25">
      <c r="B97" s="12">
        <v>89</v>
      </c>
      <c r="C97" s="22">
        <f>Model!D15</f>
        <v>9</v>
      </c>
      <c r="D97" s="22">
        <f>Discharge!C97*Discharge!B97/60</f>
        <v>13.35</v>
      </c>
      <c r="E97" s="23">
        <f>MAX(0,1-Discharge!B97/Model!L12)</f>
        <v>0.0719152288141</v>
      </c>
      <c r="F97" s="22">
        <f>Model!D18+(Model!D17-Model!D18)*Discharge!E97</f>
        <v>22.244511778</v>
      </c>
      <c r="G97" s="22">
        <f>Discharge!F97-Discharge!C97*Model!D16</f>
        <v>21.164511778</v>
      </c>
      <c r="H97" s="24">
        <f>Discharge!G97-Discharge!G96</f>
        <v>-0.0354549238431</v>
      </c>
      <c r="I97" s="22">
        <f>Model!L13-Model!D20*Discharge!B97</f>
        <v>19.87</v>
      </c>
      <c r="J97" s="8" t="str">
        <f>IF(Discharge!B97&gt;Model!L12,"EMPTY",IF(Discharge!G97&lt;=Model!D19,"LIMP","NOMINAL"))</f>
        <v>NOMINAL</v>
      </c>
    </row>
    <row r="98" spans="2:10" x14ac:dyDescent="0.25">
      <c r="B98" s="12">
        <v>90</v>
      </c>
      <c r="C98" s="22">
        <f>Model!D15</f>
        <v>9</v>
      </c>
      <c r="D98" s="22">
        <f>Discharge!C98*Discharge!B98/60</f>
        <v>13.5</v>
      </c>
      <c r="E98" s="23">
        <f>MAX(0,1-Discharge!B98/Model!L12)</f>
        <v>0.0614873100368</v>
      </c>
      <c r="F98" s="22">
        <f>Model!D18+(Model!D17-Model!D18)*Discharge!E98</f>
        <v>22.2090568541</v>
      </c>
      <c r="G98" s="22">
        <f>Discharge!F98-Discharge!C98*Model!D16</f>
        <v>21.1290568541</v>
      </c>
      <c r="H98" s="24">
        <f>Discharge!G98-Discharge!G97</f>
        <v>-0.0354549238431</v>
      </c>
      <c r="I98" s="22">
        <f>Model!L13-Model!D20*Discharge!B98</f>
        <v>19.82</v>
      </c>
      <c r="J98" s="8" t="str">
        <f>IF(Discharge!B98&gt;Model!L12,"EMPTY",IF(Discharge!G98&lt;=Model!D19,"LIMP","NOMINAL"))</f>
        <v>NOMINAL</v>
      </c>
    </row>
    <row r="99" spans="2:10" x14ac:dyDescent="0.25">
      <c r="B99" s="12">
        <v>91</v>
      </c>
      <c r="C99" s="22">
        <f>Model!D15</f>
        <v>9</v>
      </c>
      <c r="D99" s="22">
        <f>Discharge!C99*Discharge!B99/60</f>
        <v>13.65</v>
      </c>
      <c r="E99" s="23">
        <f>MAX(0,1-Discharge!B99/Model!L12)</f>
        <v>0.0510593912594</v>
      </c>
      <c r="F99" s="22">
        <f>Model!D18+(Model!D17-Model!D18)*Discharge!E99</f>
        <v>22.1736019303</v>
      </c>
      <c r="G99" s="22">
        <f>Discharge!F99-Discharge!C99*Model!D16</f>
        <v>21.0936019303</v>
      </c>
      <c r="H99" s="24">
        <f>Discharge!G99-Discharge!G98</f>
        <v>-0.0354549238431</v>
      </c>
      <c r="I99" s="22">
        <f>Model!L13-Model!D20*Discharge!B99</f>
        <v>19.77</v>
      </c>
      <c r="J99" s="8" t="str">
        <f>IF(Discharge!B99&gt;Model!L12,"EMPTY",IF(Discharge!G99&lt;=Model!D19,"LIMP","NOMINAL"))</f>
        <v>NOMINAL</v>
      </c>
    </row>
    <row r="100" spans="2:10" x14ac:dyDescent="0.25">
      <c r="B100" s="12">
        <v>92</v>
      </c>
      <c r="C100" s="22">
        <f>Model!D15</f>
        <v>9</v>
      </c>
      <c r="D100" s="22">
        <f>Discharge!C100*Discharge!B100/60</f>
        <v>13.8</v>
      </c>
      <c r="E100" s="23">
        <f>MAX(0,1-Discharge!B100/Model!L12)</f>
        <v>0.040631472482</v>
      </c>
      <c r="F100" s="22">
        <f>Model!D18+(Model!D17-Model!D18)*Discharge!E100</f>
        <v>22.1381470064</v>
      </c>
      <c r="G100" s="22">
        <f>Discharge!F100-Discharge!C100*Model!D16</f>
        <v>21.0581470064</v>
      </c>
      <c r="H100" s="24">
        <f>Discharge!G100-Discharge!G99</f>
        <v>-0.0354549238431</v>
      </c>
      <c r="I100" s="22">
        <f>Model!L13-Model!D20*Discharge!B100</f>
        <v>19.72</v>
      </c>
      <c r="J100" s="8" t="str">
        <f>IF(Discharge!B100&gt;Model!L12,"EMPTY",IF(Discharge!G100&lt;=Model!D19,"LIMP","NOMINAL"))</f>
        <v>NOMINAL</v>
      </c>
    </row>
    <row r="101" spans="2:10" x14ac:dyDescent="0.25">
      <c r="B101" s="12">
        <v>93</v>
      </c>
      <c r="C101" s="22">
        <f>Model!D15</f>
        <v>9</v>
      </c>
      <c r="D101" s="22">
        <f>Discharge!C101*Discharge!B101/60</f>
        <v>13.95</v>
      </c>
      <c r="E101" s="23">
        <f>MAX(0,1-Discharge!B101/Model!L12)</f>
        <v>0.0302035537047</v>
      </c>
      <c r="F101" s="22">
        <f>Model!D18+(Model!D17-Model!D18)*Discharge!E101</f>
        <v>22.1026920826</v>
      </c>
      <c r="G101" s="22">
        <f>Discharge!F101-Discharge!C101*Model!D16</f>
        <v>21.0226920826</v>
      </c>
      <c r="H101" s="24">
        <f>Discharge!G101-Discharge!G100</f>
        <v>-0.0354549238431</v>
      </c>
      <c r="I101" s="22">
        <f>Model!L13-Model!D20*Discharge!B101</f>
        <v>19.67</v>
      </c>
      <c r="J101" s="8" t="str">
        <f>IF(Discharge!B101&gt;Model!L12,"EMPTY",IF(Discharge!G101&lt;=Model!D19,"LIMP","NOMINAL"))</f>
        <v>NOMINAL</v>
      </c>
    </row>
    <row r="102" spans="2:10" x14ac:dyDescent="0.25">
      <c r="B102" s="12">
        <v>94</v>
      </c>
      <c r="C102" s="22">
        <f>Model!D15</f>
        <v>9</v>
      </c>
      <c r="D102" s="22">
        <f>Discharge!C102*Discharge!B102/60</f>
        <v>14.1</v>
      </c>
      <c r="E102" s="23">
        <f>MAX(0,1-Discharge!B102/Model!L12)</f>
        <v>0.0197756349273</v>
      </c>
      <c r="F102" s="22">
        <f>Model!D18+(Model!D17-Model!D18)*Discharge!E102</f>
        <v>22.0672371588</v>
      </c>
      <c r="G102" s="22">
        <f>Discharge!F102-Discharge!C102*Model!D16</f>
        <v>20.9872371588</v>
      </c>
      <c r="H102" s="24">
        <f>Discharge!G102-Discharge!G101</f>
        <v>-0.0354549238431</v>
      </c>
      <c r="I102" s="22">
        <f>Model!L13-Model!D20*Discharge!B102</f>
        <v>19.62</v>
      </c>
      <c r="J102" s="8" t="str">
        <f>IF(Discharge!B102&gt;Model!L12,"EMPTY",IF(Discharge!G102&lt;=Model!D19,"LIMP","NOMINAL"))</f>
        <v>LIMP</v>
      </c>
    </row>
    <row r="103" spans="2:10" x14ac:dyDescent="0.25">
      <c r="B103" s="12">
        <v>95</v>
      </c>
      <c r="C103" s="22">
        <f>Model!D15</f>
        <v>9</v>
      </c>
      <c r="D103" s="22">
        <f>Discharge!C103*Discharge!B103/60</f>
        <v>14.25</v>
      </c>
      <c r="E103" s="23">
        <f>MAX(0,1-Discharge!B103/Model!L12)</f>
        <v>0.00934771614991</v>
      </c>
      <c r="F103" s="22">
        <f>Model!D18+(Model!D17-Model!D18)*Discharge!E103</f>
        <v>22.0317822349</v>
      </c>
      <c r="G103" s="22">
        <f>Discharge!F103-Discharge!C103*Model!D16</f>
        <v>20.9517822349</v>
      </c>
      <c r="H103" s="24">
        <f>Discharge!G103-Discharge!G102</f>
        <v>-0.0354549238431</v>
      </c>
      <c r="I103" s="22">
        <f>Model!L13-Model!D20*Discharge!B103</f>
        <v>19.57</v>
      </c>
      <c r="J103" s="8" t="str">
        <f>IF(Discharge!B103&gt;Model!L12,"EMPTY",IF(Discharge!G103&lt;=Model!D19,"LIMP","NOMINAL"))</f>
        <v>LIMP</v>
      </c>
    </row>
    <row r="104" spans="2:10" x14ac:dyDescent="0.25">
      <c r="B104" s="12">
        <v>96</v>
      </c>
      <c r="C104" s="22">
        <f>Model!D15</f>
        <v>9</v>
      </c>
      <c r="D104" s="22">
        <f>Discharge!C104*Discharge!B104/60</f>
        <v>14.4</v>
      </c>
      <c r="E104" s="23">
        <f>MAX(0,1-Discharge!B104/Model!L12)</f>
        <v>0</v>
      </c>
      <c r="F104" s="22">
        <f>Model!D18+(Model!D17-Model!D18)*Discharge!E104</f>
        <v>22</v>
      </c>
      <c r="G104" s="22">
        <f>Discharge!F104-Discharge!C104*Model!D16</f>
        <v>20.92</v>
      </c>
      <c r="H104" s="24">
        <f>Discharge!G104-Discharge!G103</f>
        <v>-0.0317822349097</v>
      </c>
      <c r="I104" s="22">
        <f>Model!L13-Model!D20*Discharge!B104</f>
        <v>19.52</v>
      </c>
      <c r="J104" s="8" t="str">
        <f>IF(Discharge!B104&gt;Model!L12,"EMPTY",IF(Discharge!G104&lt;=Model!D19,"LIMP","NOMINAL"))</f>
        <v>EMPTY</v>
      </c>
    </row>
    <row r="105" spans="2:10" x14ac:dyDescent="0.25">
      <c r="B105" s="12">
        <v>97</v>
      </c>
      <c r="C105" s="22">
        <f>Model!D15</f>
        <v>9</v>
      </c>
      <c r="D105" s="22">
        <f>Discharge!C105*Discharge!B105/60</f>
        <v>14.55</v>
      </c>
      <c r="E105" s="23">
        <f>MAX(0,1-Discharge!B105/Model!L12)</f>
        <v>0</v>
      </c>
      <c r="F105" s="22">
        <f>Model!D18+(Model!D17-Model!D18)*Discharge!E105</f>
        <v>22</v>
      </c>
      <c r="G105" s="22">
        <f>Discharge!F105-Discharge!C105*Model!D16</f>
        <v>20.92</v>
      </c>
      <c r="H105" s="24">
        <f>Discharge!G105-Discharge!G104</f>
        <v>0</v>
      </c>
      <c r="I105" s="22">
        <f>Model!L13-Model!D20*Discharge!B105</f>
        <v>19.47</v>
      </c>
      <c r="J105" s="8" t="str">
        <f>IF(Discharge!B105&gt;Model!L12,"EMPTY",IF(Discharge!G105&lt;=Model!D19,"LIMP","NOMINAL"))</f>
        <v>EMPTY</v>
      </c>
    </row>
    <row r="106" spans="2:10" x14ac:dyDescent="0.25">
      <c r="B106" s="12">
        <v>98</v>
      </c>
      <c r="C106" s="22">
        <f>Model!D15</f>
        <v>9</v>
      </c>
      <c r="D106" s="22">
        <f>Discharge!C106*Discharge!B106/60</f>
        <v>14.7</v>
      </c>
      <c r="E106" s="23">
        <f>MAX(0,1-Discharge!B106/Model!L12)</f>
        <v>0</v>
      </c>
      <c r="F106" s="22">
        <f>Model!D18+(Model!D17-Model!D18)*Discharge!E106</f>
        <v>22</v>
      </c>
      <c r="G106" s="22">
        <f>Discharge!F106-Discharge!C106*Model!D16</f>
        <v>20.92</v>
      </c>
      <c r="H106" s="24">
        <f>Discharge!G106-Discharge!G105</f>
        <v>0</v>
      </c>
      <c r="I106" s="22">
        <f>Model!L13-Model!D20*Discharge!B106</f>
        <v>19.42</v>
      </c>
      <c r="J106" s="8" t="str">
        <f>IF(Discharge!B106&gt;Model!L12,"EMPTY",IF(Discharge!G106&lt;=Model!D19,"LIMP","NOMINAL"))</f>
        <v>EMPTY</v>
      </c>
    </row>
    <row r="107" spans="2:10" x14ac:dyDescent="0.25">
      <c r="B107" s="12">
        <v>99</v>
      </c>
      <c r="C107" s="22">
        <f>Model!D15</f>
        <v>9</v>
      </c>
      <c r="D107" s="22">
        <f>Discharge!C107*Discharge!B107/60</f>
        <v>14.85</v>
      </c>
      <c r="E107" s="23">
        <f>MAX(0,1-Discharge!B107/Model!L12)</f>
        <v>0</v>
      </c>
      <c r="F107" s="22">
        <f>Model!D18+(Model!D17-Model!D18)*Discharge!E107</f>
        <v>22</v>
      </c>
      <c r="G107" s="22">
        <f>Discharge!F107-Discharge!C107*Model!D16</f>
        <v>20.92</v>
      </c>
      <c r="H107" s="24">
        <f>Discharge!G107-Discharge!G106</f>
        <v>0</v>
      </c>
      <c r="I107" s="22">
        <f>Model!L13-Model!D20*Discharge!B107</f>
        <v>19.37</v>
      </c>
      <c r="J107" s="8" t="str">
        <f>IF(Discharge!B107&gt;Model!L12,"EMPTY",IF(Discharge!G107&lt;=Model!D19,"LIMP","NOMINAL"))</f>
        <v>EMPTY</v>
      </c>
    </row>
    <row r="108" spans="2:10" x14ac:dyDescent="0.25">
      <c r="B108" s="12">
        <v>100</v>
      </c>
      <c r="C108" s="22">
        <f>Model!D15</f>
        <v>9</v>
      </c>
      <c r="D108" s="22">
        <f>Discharge!C108*Discharge!B108/60</f>
        <v>15</v>
      </c>
      <c r="E108" s="23">
        <f>MAX(0,1-Discharge!B108/Model!L12)</f>
        <v>0</v>
      </c>
      <c r="F108" s="22">
        <f>Model!D18+(Model!D17-Model!D18)*Discharge!E108</f>
        <v>22</v>
      </c>
      <c r="G108" s="22">
        <f>Discharge!F108-Discharge!C108*Model!D16</f>
        <v>20.92</v>
      </c>
      <c r="H108" s="24">
        <f>Discharge!G108-Discharge!G107</f>
        <v>0</v>
      </c>
      <c r="I108" s="22">
        <f>Model!L13-Model!D20*Discharge!B108</f>
        <v>19.32</v>
      </c>
      <c r="J108" s="8" t="str">
        <f>IF(Discharge!B108&gt;Model!L12,"EMPTY",IF(Discharge!G108&lt;=Model!D19,"LIMP","NOMINAL"))</f>
        <v>EMPTY</v>
      </c>
    </row>
    <row r="109" spans="2:10" x14ac:dyDescent="0.25">
      <c r="B109" s="12">
        <v>101</v>
      </c>
      <c r="C109" s="22">
        <f>Model!D15</f>
        <v>9</v>
      </c>
      <c r="D109" s="22">
        <f>Discharge!C109*Discharge!B109/60</f>
        <v>15.15</v>
      </c>
      <c r="E109" s="23">
        <f>MAX(0,1-Discharge!B109/Model!L12)</f>
        <v>0</v>
      </c>
      <c r="F109" s="22">
        <f>Model!D18+(Model!D17-Model!D18)*Discharge!E109</f>
        <v>22</v>
      </c>
      <c r="G109" s="22">
        <f>Discharge!F109-Discharge!C109*Model!D16</f>
        <v>20.92</v>
      </c>
      <c r="H109" s="24">
        <f>Discharge!G109-Discharge!G108</f>
        <v>0</v>
      </c>
      <c r="I109" s="22">
        <f>Model!L13-Model!D20*Discharge!B109</f>
        <v>19.27</v>
      </c>
      <c r="J109" s="8" t="str">
        <f>IF(Discharge!B109&gt;Model!L12,"EMPTY",IF(Discharge!G109&lt;=Model!D19,"LIMP","NOMINAL"))</f>
        <v>EMPTY</v>
      </c>
    </row>
    <row r="110" spans="2:10" x14ac:dyDescent="0.25">
      <c r="B110" s="12">
        <v>102</v>
      </c>
      <c r="C110" s="22">
        <f>Model!D15</f>
        <v>9</v>
      </c>
      <c r="D110" s="22">
        <f>Discharge!C110*Discharge!B110/60</f>
        <v>15.3</v>
      </c>
      <c r="E110" s="23">
        <f>MAX(0,1-Discharge!B110/Model!L12)</f>
        <v>0</v>
      </c>
      <c r="F110" s="22">
        <f>Model!D18+(Model!D17-Model!D18)*Discharge!E110</f>
        <v>22</v>
      </c>
      <c r="G110" s="22">
        <f>Discharge!F110-Discharge!C110*Model!D16</f>
        <v>20.92</v>
      </c>
      <c r="H110" s="24">
        <f>Discharge!G110-Discharge!G109</f>
        <v>0</v>
      </c>
      <c r="I110" s="22">
        <f>Model!L13-Model!D20*Discharge!B110</f>
        <v>19.22</v>
      </c>
      <c r="J110" s="8" t="str">
        <f>IF(Discharge!B110&gt;Model!L12,"EMPTY",IF(Discharge!G110&lt;=Model!D19,"LIMP","NOMINAL"))</f>
        <v>EMPTY</v>
      </c>
    </row>
    <row r="111" spans="2:10" x14ac:dyDescent="0.25">
      <c r="B111" s="12">
        <v>103</v>
      </c>
      <c r="C111" s="22">
        <f>Model!D15</f>
        <v>9</v>
      </c>
      <c r="D111" s="22">
        <f>Discharge!C111*Discharge!B111/60</f>
        <v>15.45</v>
      </c>
      <c r="E111" s="23">
        <f>MAX(0,1-Discharge!B111/Model!L12)</f>
        <v>0</v>
      </c>
      <c r="F111" s="22">
        <f>Model!D18+(Model!D17-Model!D18)*Discharge!E111</f>
        <v>22</v>
      </c>
      <c r="G111" s="22">
        <f>Discharge!F111-Discharge!C111*Model!D16</f>
        <v>20.92</v>
      </c>
      <c r="H111" s="24">
        <f>Discharge!G111-Discharge!G110</f>
        <v>0</v>
      </c>
      <c r="I111" s="22">
        <f>Model!L13-Model!D20*Discharge!B111</f>
        <v>19.17</v>
      </c>
      <c r="J111" s="8" t="str">
        <f>IF(Discharge!B111&gt;Model!L12,"EMPTY",IF(Discharge!G111&lt;=Model!D19,"LIMP","NOMINAL"))</f>
        <v>EMPTY</v>
      </c>
    </row>
    <row r="112" spans="2:10" x14ac:dyDescent="0.25">
      <c r="B112" s="12">
        <v>104</v>
      </c>
      <c r="C112" s="22">
        <f>Model!D15</f>
        <v>9</v>
      </c>
      <c r="D112" s="22">
        <f>Discharge!C112*Discharge!B112/60</f>
        <v>15.6</v>
      </c>
      <c r="E112" s="23">
        <f>MAX(0,1-Discharge!B112/Model!L12)</f>
        <v>0</v>
      </c>
      <c r="F112" s="22">
        <f>Model!D18+(Model!D17-Model!D18)*Discharge!E112</f>
        <v>22</v>
      </c>
      <c r="G112" s="22">
        <f>Discharge!F112-Discharge!C112*Model!D16</f>
        <v>20.92</v>
      </c>
      <c r="H112" s="24">
        <f>Discharge!G112-Discharge!G111</f>
        <v>0</v>
      </c>
      <c r="I112" s="22">
        <f>Model!L13-Model!D20*Discharge!B112</f>
        <v>19.12</v>
      </c>
      <c r="J112" s="8" t="str">
        <f>IF(Discharge!B112&gt;Model!L12,"EMPTY",IF(Discharge!G112&lt;=Model!D19,"LIMP","NOMINAL"))</f>
        <v>EMPTY</v>
      </c>
    </row>
    <row r="113" spans="2:10" x14ac:dyDescent="0.25">
      <c r="B113" s="12">
        <v>105</v>
      </c>
      <c r="C113" s="22">
        <f>Model!D15</f>
        <v>9</v>
      </c>
      <c r="D113" s="22">
        <f>Discharge!C113*Discharge!B113/60</f>
        <v>15.75</v>
      </c>
      <c r="E113" s="23">
        <f>MAX(0,1-Discharge!B113/Model!L12)</f>
        <v>0</v>
      </c>
      <c r="F113" s="22">
        <f>Model!D18+(Model!D17-Model!D18)*Discharge!E113</f>
        <v>22</v>
      </c>
      <c r="G113" s="22">
        <f>Discharge!F113-Discharge!C113*Model!D16</f>
        <v>20.92</v>
      </c>
      <c r="H113" s="24">
        <f>Discharge!G113-Discharge!G112</f>
        <v>0</v>
      </c>
      <c r="I113" s="22">
        <f>Model!L13-Model!D20*Discharge!B113</f>
        <v>19.07</v>
      </c>
      <c r="J113" s="8" t="str">
        <f>IF(Discharge!B113&gt;Model!L12,"EMPTY",IF(Discharge!G113&lt;=Model!D19,"LIMP","NOMINAL"))</f>
        <v>EMPTY</v>
      </c>
    </row>
    <row r="114" spans="2:10" x14ac:dyDescent="0.25">
      <c r="B114" s="12">
        <v>106</v>
      </c>
      <c r="C114" s="22">
        <f>Model!D15</f>
        <v>9</v>
      </c>
      <c r="D114" s="22">
        <f>Discharge!C114*Discharge!B114/60</f>
        <v>15.9</v>
      </c>
      <c r="E114" s="23">
        <f>MAX(0,1-Discharge!B114/Model!L12)</f>
        <v>0</v>
      </c>
      <c r="F114" s="22">
        <f>Model!D18+(Model!D17-Model!D18)*Discharge!E114</f>
        <v>22</v>
      </c>
      <c r="G114" s="22">
        <f>Discharge!F114-Discharge!C114*Model!D16</f>
        <v>20.92</v>
      </c>
      <c r="H114" s="24">
        <f>Discharge!G114-Discharge!G113</f>
        <v>0</v>
      </c>
      <c r="I114" s="22">
        <f>Model!L13-Model!D20*Discharge!B114</f>
        <v>19.02</v>
      </c>
      <c r="J114" s="8" t="str">
        <f>IF(Discharge!B114&gt;Model!L12,"EMPTY",IF(Discharge!G114&lt;=Model!D19,"LIMP","NOMINAL"))</f>
        <v>EMPTY</v>
      </c>
    </row>
    <row r="115" spans="2:10" x14ac:dyDescent="0.25">
      <c r="B115" s="12">
        <v>107</v>
      </c>
      <c r="C115" s="22">
        <f>Model!D15</f>
        <v>9</v>
      </c>
      <c r="D115" s="22">
        <f>Discharge!C115*Discharge!B115/60</f>
        <v>16.05</v>
      </c>
      <c r="E115" s="23">
        <f>MAX(0,1-Discharge!B115/Model!L12)</f>
        <v>0</v>
      </c>
      <c r="F115" s="22">
        <f>Model!D18+(Model!D17-Model!D18)*Discharge!E115</f>
        <v>22</v>
      </c>
      <c r="G115" s="22">
        <f>Discharge!F115-Discharge!C115*Model!D16</f>
        <v>20.92</v>
      </c>
      <c r="H115" s="24">
        <f>Discharge!G115-Discharge!G114</f>
        <v>0</v>
      </c>
      <c r="I115" s="22">
        <f>Model!L13-Model!D20*Discharge!B115</f>
        <v>18.97</v>
      </c>
      <c r="J115" s="8" t="str">
        <f>IF(Discharge!B115&gt;Model!L12,"EMPTY",IF(Discharge!G115&lt;=Model!D19,"LIMP","NOMINAL"))</f>
        <v>EMPTY</v>
      </c>
    </row>
    <row r="116" spans="2:10" x14ac:dyDescent="0.25">
      <c r="B116" s="12">
        <v>108</v>
      </c>
      <c r="C116" s="22">
        <f>Model!D15</f>
        <v>9</v>
      </c>
      <c r="D116" s="22">
        <f>Discharge!C116*Discharge!B116/60</f>
        <v>16.2</v>
      </c>
      <c r="E116" s="23">
        <f>MAX(0,1-Discharge!B116/Model!L12)</f>
        <v>0</v>
      </c>
      <c r="F116" s="22">
        <f>Model!D18+(Model!D17-Model!D18)*Discharge!E116</f>
        <v>22</v>
      </c>
      <c r="G116" s="22">
        <f>Discharge!F116-Discharge!C116*Model!D16</f>
        <v>20.92</v>
      </c>
      <c r="H116" s="24">
        <f>Discharge!G116-Discharge!G115</f>
        <v>0</v>
      </c>
      <c r="I116" s="22">
        <f>Model!L13-Model!D20*Discharge!B116</f>
        <v>18.92</v>
      </c>
      <c r="J116" s="8" t="str">
        <f>IF(Discharge!B116&gt;Model!L12,"EMPTY",IF(Discharge!G116&lt;=Model!D19,"LIMP","NOMINAL"))</f>
        <v>EMPTY</v>
      </c>
    </row>
    <row r="117" spans="2:10" x14ac:dyDescent="0.25">
      <c r="B117" s="12">
        <v>109</v>
      </c>
      <c r="C117" s="22">
        <f>Model!D15</f>
        <v>9</v>
      </c>
      <c r="D117" s="22">
        <f>Discharge!C117*Discharge!B117/60</f>
        <v>16.35</v>
      </c>
      <c r="E117" s="23">
        <f>MAX(0,1-Discharge!B117/Model!L12)</f>
        <v>0</v>
      </c>
      <c r="F117" s="22">
        <f>Model!D18+(Model!D17-Model!D18)*Discharge!E117</f>
        <v>22</v>
      </c>
      <c r="G117" s="22">
        <f>Discharge!F117-Discharge!C117*Model!D16</f>
        <v>20.92</v>
      </c>
      <c r="H117" s="24">
        <f>Discharge!G117-Discharge!G116</f>
        <v>0</v>
      </c>
      <c r="I117" s="22">
        <f>Model!L13-Model!D20*Discharge!B117</f>
        <v>18.87</v>
      </c>
      <c r="J117" s="8" t="str">
        <f>IF(Discharge!B117&gt;Model!L12,"EMPTY",IF(Discharge!G117&lt;=Model!D19,"LIMP","NOMINAL"))</f>
        <v>EMPTY</v>
      </c>
    </row>
    <row r="118" spans="2:10" x14ac:dyDescent="0.25">
      <c r="B118" s="12">
        <v>110</v>
      </c>
      <c r="C118" s="22">
        <f>Model!D15</f>
        <v>9</v>
      </c>
      <c r="D118" s="22">
        <f>Discharge!C118*Discharge!B118/60</f>
        <v>16.5</v>
      </c>
      <c r="E118" s="23">
        <f>MAX(0,1-Discharge!B118/Model!L12)</f>
        <v>0</v>
      </c>
      <c r="F118" s="22">
        <f>Model!D18+(Model!D17-Model!D18)*Discharge!E118</f>
        <v>22</v>
      </c>
      <c r="G118" s="22">
        <f>Discharge!F118-Discharge!C118*Model!D16</f>
        <v>20.92</v>
      </c>
      <c r="H118" s="24">
        <f>Discharge!G118-Discharge!G117</f>
        <v>0</v>
      </c>
      <c r="I118" s="22">
        <f>Model!L13-Model!D20*Discharge!B118</f>
        <v>18.82</v>
      </c>
      <c r="J118" s="8" t="str">
        <f>IF(Discharge!B118&gt;Model!L12,"EMPTY",IF(Discharge!G118&lt;=Model!D19,"LIMP","NOMINAL"))</f>
        <v>EMPTY</v>
      </c>
    </row>
    <row r="119" spans="2:10" x14ac:dyDescent="0.25">
      <c r="B119" s="12">
        <v>111</v>
      </c>
      <c r="C119" s="22">
        <f>Model!D15</f>
        <v>9</v>
      </c>
      <c r="D119" s="22">
        <f>Discharge!C119*Discharge!B119/60</f>
        <v>16.65</v>
      </c>
      <c r="E119" s="23">
        <f>MAX(0,1-Discharge!B119/Model!L12)</f>
        <v>0</v>
      </c>
      <c r="F119" s="22">
        <f>Model!D18+(Model!D17-Model!D18)*Discharge!E119</f>
        <v>22</v>
      </c>
      <c r="G119" s="22">
        <f>Discharge!F119-Discharge!C119*Model!D16</f>
        <v>20.92</v>
      </c>
      <c r="H119" s="24">
        <f>Discharge!G119-Discharge!G118</f>
        <v>0</v>
      </c>
      <c r="I119" s="22">
        <f>Model!L13-Model!D20*Discharge!B119</f>
        <v>18.77</v>
      </c>
      <c r="J119" s="8" t="str">
        <f>IF(Discharge!B119&gt;Model!L12,"EMPTY",IF(Discharge!G119&lt;=Model!D19,"LIMP","NOMINAL"))</f>
        <v>EMPTY</v>
      </c>
    </row>
    <row r="120" spans="2:10" x14ac:dyDescent="0.25">
      <c r="B120" s="12">
        <v>112</v>
      </c>
      <c r="C120" s="22">
        <f>Model!D15</f>
        <v>9</v>
      </c>
      <c r="D120" s="22">
        <f>Discharge!C120*Discharge!B120/60</f>
        <v>16.8</v>
      </c>
      <c r="E120" s="23">
        <f>MAX(0,1-Discharge!B120/Model!L12)</f>
        <v>0</v>
      </c>
      <c r="F120" s="22">
        <f>Model!D18+(Model!D17-Model!D18)*Discharge!E120</f>
        <v>22</v>
      </c>
      <c r="G120" s="22">
        <f>Discharge!F120-Discharge!C120*Model!D16</f>
        <v>20.92</v>
      </c>
      <c r="H120" s="24">
        <f>Discharge!G120-Discharge!G119</f>
        <v>0</v>
      </c>
      <c r="I120" s="22">
        <f>Model!L13-Model!D20*Discharge!B120</f>
        <v>18.72</v>
      </c>
      <c r="J120" s="8" t="str">
        <f>IF(Discharge!B120&gt;Model!L12,"EMPTY",IF(Discharge!G120&lt;=Model!D19,"LIMP","NOMINAL"))</f>
        <v>EMPTY</v>
      </c>
    </row>
    <row r="121" spans="2:10" x14ac:dyDescent="0.25">
      <c r="B121" s="12">
        <v>113</v>
      </c>
      <c r="C121" s="22">
        <f>Model!D15</f>
        <v>9</v>
      </c>
      <c r="D121" s="22">
        <f>Discharge!C121*Discharge!B121/60</f>
        <v>16.95</v>
      </c>
      <c r="E121" s="23">
        <f>MAX(0,1-Discharge!B121/Model!L12)</f>
        <v>0</v>
      </c>
      <c r="F121" s="22">
        <f>Model!D18+(Model!D17-Model!D18)*Discharge!E121</f>
        <v>22</v>
      </c>
      <c r="G121" s="22">
        <f>Discharge!F121-Discharge!C121*Model!D16</f>
        <v>20.92</v>
      </c>
      <c r="H121" s="24">
        <f>Discharge!G121-Discharge!G120</f>
        <v>0</v>
      </c>
      <c r="I121" s="22">
        <f>Model!L13-Model!D20*Discharge!B121</f>
        <v>18.67</v>
      </c>
      <c r="J121" s="8" t="str">
        <f>IF(Discharge!B121&gt;Model!L12,"EMPTY",IF(Discharge!G121&lt;=Model!D19,"LIMP","NOMINAL"))</f>
        <v>EMPTY</v>
      </c>
    </row>
    <row r="122" spans="2:10" x14ac:dyDescent="0.25">
      <c r="B122" s="12">
        <v>114</v>
      </c>
      <c r="C122" s="22">
        <f>Model!D15</f>
        <v>9</v>
      </c>
      <c r="D122" s="22">
        <f>Discharge!C122*Discharge!B122/60</f>
        <v>17.1</v>
      </c>
      <c r="E122" s="23">
        <f>MAX(0,1-Discharge!B122/Model!L12)</f>
        <v>0</v>
      </c>
      <c r="F122" s="22">
        <f>Model!D18+(Model!D17-Model!D18)*Discharge!E122</f>
        <v>22</v>
      </c>
      <c r="G122" s="22">
        <f>Discharge!F122-Discharge!C122*Model!D16</f>
        <v>20.92</v>
      </c>
      <c r="H122" s="24">
        <f>Discharge!G122-Discharge!G121</f>
        <v>0</v>
      </c>
      <c r="I122" s="22">
        <f>Model!L13-Model!D20*Discharge!B122</f>
        <v>18.62</v>
      </c>
      <c r="J122" s="8" t="str">
        <f>IF(Discharge!B122&gt;Model!L12,"EMPTY",IF(Discharge!G122&lt;=Model!D19,"LIMP","NOMINAL"))</f>
        <v>EMPTY</v>
      </c>
    </row>
    <row r="123" spans="2:10" x14ac:dyDescent="0.25">
      <c r="B123" s="12">
        <v>115</v>
      </c>
      <c r="C123" s="22">
        <f>Model!D15</f>
        <v>9</v>
      </c>
      <c r="D123" s="22">
        <f>Discharge!C123*Discharge!B123/60</f>
        <v>17.25</v>
      </c>
      <c r="E123" s="23">
        <f>MAX(0,1-Discharge!B123/Model!L12)</f>
        <v>0</v>
      </c>
      <c r="F123" s="22">
        <f>Model!D18+(Model!D17-Model!D18)*Discharge!E123</f>
        <v>22</v>
      </c>
      <c r="G123" s="22">
        <f>Discharge!F123-Discharge!C123*Model!D16</f>
        <v>20.92</v>
      </c>
      <c r="H123" s="24">
        <f>Discharge!G123-Discharge!G122</f>
        <v>0</v>
      </c>
      <c r="I123" s="22">
        <f>Model!L13-Model!D20*Discharge!B123</f>
        <v>18.57</v>
      </c>
      <c r="J123" s="8" t="str">
        <f>IF(Discharge!B123&gt;Model!L12,"EMPTY",IF(Discharge!G123&lt;=Model!D19,"LIMP","NOMINAL"))</f>
        <v>EMPTY</v>
      </c>
    </row>
    <row r="124" spans="2:10" x14ac:dyDescent="0.25">
      <c r="B124" s="12">
        <v>116</v>
      </c>
      <c r="C124" s="22">
        <f>Model!D15</f>
        <v>9</v>
      </c>
      <c r="D124" s="22">
        <f>Discharge!C124*Discharge!B124/60</f>
        <v>17.4</v>
      </c>
      <c r="E124" s="23">
        <f>MAX(0,1-Discharge!B124/Model!L12)</f>
        <v>0</v>
      </c>
      <c r="F124" s="22">
        <f>Model!D18+(Model!D17-Model!D18)*Discharge!E124</f>
        <v>22</v>
      </c>
      <c r="G124" s="22">
        <f>Discharge!F124-Discharge!C124*Model!D16</f>
        <v>20.92</v>
      </c>
      <c r="H124" s="24">
        <f>Discharge!G124-Discharge!G123</f>
        <v>0</v>
      </c>
      <c r="I124" s="22">
        <f>Model!L13-Model!D20*Discharge!B124</f>
        <v>18.52</v>
      </c>
      <c r="J124" s="8" t="str">
        <f>IF(Discharge!B124&gt;Model!L12,"EMPTY",IF(Discharge!G124&lt;=Model!D19,"LIMP","NOMINAL"))</f>
        <v>EMPTY</v>
      </c>
    </row>
    <row r="125" spans="2:10" x14ac:dyDescent="0.25">
      <c r="B125" s="12">
        <v>117</v>
      </c>
      <c r="C125" s="22">
        <f>Model!D15</f>
        <v>9</v>
      </c>
      <c r="D125" s="22">
        <f>Discharge!C125*Discharge!B125/60</f>
        <v>17.55</v>
      </c>
      <c r="E125" s="23">
        <f>MAX(0,1-Discharge!B125/Model!L12)</f>
        <v>0</v>
      </c>
      <c r="F125" s="22">
        <f>Model!D18+(Model!D17-Model!D18)*Discharge!E125</f>
        <v>22</v>
      </c>
      <c r="G125" s="22">
        <f>Discharge!F125-Discharge!C125*Model!D16</f>
        <v>20.92</v>
      </c>
      <c r="H125" s="24">
        <f>Discharge!G125-Discharge!G124</f>
        <v>0</v>
      </c>
      <c r="I125" s="22">
        <f>Model!L13-Model!D20*Discharge!B125</f>
        <v>18.47</v>
      </c>
      <c r="J125" s="8" t="str">
        <f>IF(Discharge!B125&gt;Model!L12,"EMPTY",IF(Discharge!G125&lt;=Model!D19,"LIMP","NOMINAL"))</f>
        <v>EMPTY</v>
      </c>
    </row>
    <row r="126" spans="2:10" x14ac:dyDescent="0.25">
      <c r="B126" s="12">
        <v>118</v>
      </c>
      <c r="C126" s="22">
        <f>Model!D15</f>
        <v>9</v>
      </c>
      <c r="D126" s="22">
        <f>Discharge!C126*Discharge!B126/60</f>
        <v>17.7</v>
      </c>
      <c r="E126" s="23">
        <f>MAX(0,1-Discharge!B126/Model!L12)</f>
        <v>0</v>
      </c>
      <c r="F126" s="22">
        <f>Model!D18+(Model!D17-Model!D18)*Discharge!E126</f>
        <v>22</v>
      </c>
      <c r="G126" s="22">
        <f>Discharge!F126-Discharge!C126*Model!D16</f>
        <v>20.92</v>
      </c>
      <c r="H126" s="24">
        <f>Discharge!G126-Discharge!G125</f>
        <v>0</v>
      </c>
      <c r="I126" s="22">
        <f>Model!L13-Model!D20*Discharge!B126</f>
        <v>18.42</v>
      </c>
      <c r="J126" s="8" t="str">
        <f>IF(Discharge!B126&gt;Model!L12,"EMPTY",IF(Discharge!G126&lt;=Model!D19,"LIMP","NOMINAL"))</f>
        <v>EMPTY</v>
      </c>
    </row>
    <row r="127" spans="2:10" x14ac:dyDescent="0.25">
      <c r="B127" s="12">
        <v>119</v>
      </c>
      <c r="C127" s="22">
        <f>Model!D15</f>
        <v>9</v>
      </c>
      <c r="D127" s="22">
        <f>Discharge!C127*Discharge!B127/60</f>
        <v>17.85</v>
      </c>
      <c r="E127" s="23">
        <f>MAX(0,1-Discharge!B127/Model!L12)</f>
        <v>0</v>
      </c>
      <c r="F127" s="22">
        <f>Model!D18+(Model!D17-Model!D18)*Discharge!E127</f>
        <v>22</v>
      </c>
      <c r="G127" s="22">
        <f>Discharge!F127-Discharge!C127*Model!D16</f>
        <v>20.92</v>
      </c>
      <c r="H127" s="24">
        <f>Discharge!G127-Discharge!G126</f>
        <v>0</v>
      </c>
      <c r="I127" s="22">
        <f>Model!L13-Model!D20*Discharge!B127</f>
        <v>18.37</v>
      </c>
      <c r="J127" s="8" t="str">
        <f>IF(Discharge!B127&gt;Model!L12,"EMPTY",IF(Discharge!G127&lt;=Model!D19,"LIMP","NOMINAL"))</f>
        <v>EMPTY</v>
      </c>
    </row>
    <row r="128" spans="2:10" x14ac:dyDescent="0.25">
      <c r="B128" s="12">
        <v>120</v>
      </c>
      <c r="C128" s="22">
        <f>Model!D15</f>
        <v>9</v>
      </c>
      <c r="D128" s="22">
        <f>Discharge!C128*Discharge!B128/60</f>
        <v>18</v>
      </c>
      <c r="E128" s="23">
        <f>MAX(0,1-Discharge!B128/Model!L12)</f>
        <v>0</v>
      </c>
      <c r="F128" s="22">
        <f>Model!D18+(Model!D17-Model!D18)*Discharge!E128</f>
        <v>22</v>
      </c>
      <c r="G128" s="22">
        <f>Discharge!F128-Discharge!C128*Model!D16</f>
        <v>20.92</v>
      </c>
      <c r="H128" s="24">
        <f>Discharge!G128-Discharge!G127</f>
        <v>0</v>
      </c>
      <c r="I128" s="22">
        <f>Model!L13-Model!D20*Discharge!B128</f>
        <v>18.32</v>
      </c>
      <c r="J128" s="8" t="str">
        <f>IF(Discharge!B128&gt;Model!L12,"EMPTY",IF(Discharge!G128&lt;=Model!D19,"LIMP","NOMINAL"))</f>
        <v>EMPTY</v>
      </c>
    </row>
    <row r="131" spans="2:11" x14ac:dyDescent="0.25">
      <c r="B131" s="20" t="s">
        <v>43</v>
      </c>
      <c r="C131" s="20"/>
      <c r="D131" s="20"/>
      <c r="E131" s="20"/>
      <c r="F131" s="20"/>
      <c r="G131" s="20"/>
      <c r="H131" s="20"/>
      <c r="I131" s="20"/>
      <c r="J131" s="20"/>
      <c r="K131" s="20"/>
    </row>
  </sheetData>
  <mergeCells count="3">
    <mergeCell ref="B2:K2"/>
    <mergeCell ref="B3:K3"/>
    <mergeCell ref="B131:K1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</vt:lpstr>
      <vt:lpstr>Discharge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2026-10-07T15:57:38Z</dcterms:created>
  <dcterms:modified xsi:type="dcterms:W3CDTF">2026-10-07T15:57:38Z</dcterms:modified>
</cp:coreProperties>
</file>